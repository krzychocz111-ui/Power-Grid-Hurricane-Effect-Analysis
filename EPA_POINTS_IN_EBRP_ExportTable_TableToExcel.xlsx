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PA_POINTS_IN_EBRP" sheetId="1" state="visible" r:id="rId3"/>
    <sheet name="Prune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<sst xmlns="http://schemas.openxmlformats.org/spreadsheetml/2006/main" count="1521" uniqueCount="654">
  <si>
    <t xml:space="preserve">OBJECTID</t>
  </si>
  <si>
    <t xml:space="preserve">Join_Count</t>
  </si>
  <si>
    <t xml:space="preserve">TARGET_FID</t>
  </si>
  <si>
    <t xml:space="preserve">JOIN_FID</t>
  </si>
  <si>
    <t xml:space="preserve">Name</t>
  </si>
  <si>
    <t xml:space="preserve">Facility description (none if not a large industrial facility)</t>
  </si>
  <si>
    <t xml:space="preserve">links</t>
  </si>
  <si>
    <t xml:space="preserve">Throughput</t>
  </si>
  <si>
    <t xml:space="preserve">Throughput unit</t>
  </si>
  <si>
    <t xml:space="preserve">Energy usage [MWH/year]</t>
  </si>
  <si>
    <t xml:space="preserve">Power [MW]</t>
  </si>
  <si>
    <t xml:space="preserve">Coords</t>
  </si>
  <si>
    <t xml:space="preserve">Latitude</t>
  </si>
  <si>
    <t xml:space="preserve">Longitude</t>
  </si>
  <si>
    <t xml:space="preserve">FolderPath</t>
  </si>
  <si>
    <t xml:space="preserve">3190 WASHINGTON STREET</t>
  </si>
  <si>
    <t xml:space="preserve">none</t>
  </si>
  <si>
    <t xml:space="preserve">30.5890598297119, -91.1673278808594</t>
  </si>
  <si>
    <t xml:space="preserve">USEPA Region 06 Geospatial Data of Regulated Facilities or Cleanup Locations/BAKER</t>
  </si>
  <si>
    <t xml:space="preserve">BR155 (HOPE VI KANSAS STREET)</t>
  </si>
  <si>
    <t xml:space="preserve">30.4290409088135, -91.1783905029297</t>
  </si>
  <si>
    <t xml:space="preserve">USEPA Region 06 Geospatial Data of Regulated Facilities or Cleanup Locations/BATON ROUE</t>
  </si>
  <si>
    <t xml:space="preserve">1413 EAST WASHINGTON STREET</t>
  </si>
  <si>
    <t xml:space="preserve">30.4433307647705, -91.1874771118164</t>
  </si>
  <si>
    <t xml:space="preserve">USEPA Region 06 Geospatial Data of Regulated Facilities or Cleanup Locations/BATON ROUGE</t>
  </si>
  <si>
    <t xml:space="preserve">1415 SCENIC HIGHWAY</t>
  </si>
  <si>
    <t xml:space="preserve">1705 HIGHLAND ROAD</t>
  </si>
  <si>
    <t xml:space="preserve">30.431999206543, -91.1832122802734</t>
  </si>
  <si>
    <t xml:space="preserve">2 UNDESIGNATED LOTS AND LOT S-9</t>
  </si>
  <si>
    <t xml:space="preserve">30.4658908843994, -91.183349609375</t>
  </si>
  <si>
    <t xml:space="preserve">5321 GREENWELL SPRINGS RD, BR108</t>
  </si>
  <si>
    <t xml:space="preserve">9400-50 SCOTLAND AVENUE</t>
  </si>
  <si>
    <t xml:space="preserve">ACE LOGISTICS INC - LARRY SMITH PROPERTI</t>
  </si>
  <si>
    <t xml:space="preserve">30.5137901306152, -91.1806182861328</t>
  </si>
  <si>
    <t xml:space="preserve">AIR PRODUCTS - BATON ROUGE SMR</t>
  </si>
  <si>
    <t xml:space="preserve">Chemical - hydrogen  from CO2 and hydrocarbons</t>
  </si>
  <si>
    <t xml:space="preserve">https://www.airproducts.com/sitecore/content/press-releases/2021/10/1014-air-products-blue-hydrogen-clean-energy-complex-in-louisianahttps://www.airproducts.com/sitecore/content/press-releases/2021/10/1014-air-products-blue-hydrogen-clean-energy-complex-in-louisiana</t>
  </si>
  <si>
    <t xml:space="preserve"> </t>
  </si>
  <si>
    <t xml:space="preserve">cu ft/day H2</t>
  </si>
  <si>
    <t xml:space="preserve">30.4935359954834, -91.1872253417969</t>
  </si>
  <si>
    <t xml:space="preserve">ALBEMARLE CORP - PROCESS DEVELOPMENT CENTER</t>
  </si>
  <si>
    <t xml:space="preserve">Chemical – polyolefin catalysts(W. R. Grace &amp; Co. and Albemarle) </t>
  </si>
  <si>
    <t xml:space="preserve">https://www.prnewswire.com/news-releases/albemarle-expands-production-capabilities-for-finished-polyolefin-catalysts-at-its-baton-rouge-facility-138036378.html</t>
  </si>
  <si>
    <t xml:space="preserve">30.4937496185303, -91.1787414550781</t>
  </si>
  <si>
    <t xml:space="preserve">30.4893302917481, -91.1509704589844</t>
  </si>
  <si>
    <t xml:space="preserve">ALLFLEX USA LLC</t>
  </si>
  <si>
    <t xml:space="preserve">30.4731712341309, -91.0670852661133</t>
  </si>
  <si>
    <t xml:space="preserve">ARKEMA INC</t>
  </si>
  <si>
    <t xml:space="preserve">30.4010105133057, -91.0553588867188</t>
  </si>
  <si>
    <t xml:space="preserve">AUTO-CHLOR SYS OF LA &amp; SO MIS</t>
  </si>
  <si>
    <t xml:space="preserve">Detergents, dishwashers (does not appear to be a high usage facility)</t>
  </si>
  <si>
    <t xml:space="preserve">https://www.autochlor.com/</t>
  </si>
  <si>
    <t xml:space="preserve">30.4697666168213, -91.0942993164063</t>
  </si>
  <si>
    <t xml:space="preserve">AUTO-CHLOR SYSTEM OF BATON ROUGE</t>
  </si>
  <si>
    <t xml:space="preserve">duplicate entry</t>
  </si>
  <si>
    <t xml:space="preserve">BARRIERE CONSTRUCTION CO LLC - ASPHALT PLANT</t>
  </si>
  <si>
    <t xml:space="preserve">Chemical – asphalt</t>
  </si>
  <si>
    <t xml:space="preserve">30.5587005615234, -91.2017211914063</t>
  </si>
  <si>
    <t xml:space="preserve">BATON ROUGE (PARISH OF EBR), CITY OF</t>
  </si>
  <si>
    <t xml:space="preserve">30.6519165039063, -91.1418609619141</t>
  </si>
  <si>
    <t xml:space="preserve">BATON ROUGE ASPHALT PLANT</t>
  </si>
  <si>
    <t xml:space="preserve">BATON ROUGE COCA-COLA BOTTLING CO</t>
  </si>
  <si>
    <t xml:space="preserve">Bottling of Coca-Cola</t>
  </si>
  <si>
    <t xml:space="preserve">Coke bottles</t>
  </si>
  <si>
    <t xml:space="preserve">30.4199104309082, -91.0726928710938</t>
  </si>
  <si>
    <t xml:space="preserve">BATON ROUGE MUNICIPAL DOCK - LDEQ</t>
  </si>
  <si>
    <t xml:space="preserve">30.436731338501, -91.190803527832</t>
  </si>
  <si>
    <t xml:space="preserve">BEHRENS REPACKERS</t>
  </si>
  <si>
    <t xml:space="preserve">30.5431880950928, -91.063346862793</t>
  </si>
  <si>
    <t xml:space="preserve">BENGAL PRODUCTS INC</t>
  </si>
  <si>
    <t xml:space="preserve">Pesticides, probably just a warehouse</t>
  </si>
  <si>
    <t xml:space="preserve">30.3714904785156, -91.0303802490234</t>
  </si>
  <si>
    <t xml:space="preserve">BEST BLOCK LLC - SOUTHLAND BLOCK</t>
  </si>
  <si>
    <t xml:space="preserve">30.4705505371094, -91.1419296264648</t>
  </si>
  <si>
    <t xml:space="preserve">BEST BLOCK SOUTHLAND BLOCK PLANT</t>
  </si>
  <si>
    <t xml:space="preserve">BFI CSI SIEGEN LANE FACILITY</t>
  </si>
  <si>
    <t xml:space="preserve">30.3972797393799, -91.0569229125977</t>
  </si>
  <si>
    <t xml:space="preserve">BORDEN INC. DAIRY DIV.</t>
  </si>
  <si>
    <t xml:space="preserve">Dairy</t>
  </si>
  <si>
    <t xml:space="preserve">https://www.bordendairy.com/</t>
  </si>
  <si>
    <t xml:space="preserve">30.4507694244385, -91.1414794921875</t>
  </si>
  <si>
    <t xml:space="preserve">BR 120 LOTS 1, 2 &amp; 3 SQUARE 25 BUHLER TOWN</t>
  </si>
  <si>
    <t xml:space="preserve">30.4511909484863, -91.1693725585938</t>
  </si>
  <si>
    <t xml:space="preserve">BR 131 O'BRIEN HOUSE</t>
  </si>
  <si>
    <t xml:space="preserve">30.450740814209, -91.1774520874023</t>
  </si>
  <si>
    <t xml:space="preserve">BR 132 SPANISH TOWN SITE 'B'</t>
  </si>
  <si>
    <t xml:space="preserve">30.4548740386963, -91.1793441772461</t>
  </si>
  <si>
    <t xml:space="preserve">BR 134 N. 32ND AND NORTH ST. RICHMOND PARK</t>
  </si>
  <si>
    <t xml:space="preserve">30.4538497924805, -91.1566009521484</t>
  </si>
  <si>
    <t xml:space="preserve">BR 147 HOPE VI JULIA ST. SUBURB SWART, LOTS 1&amp;2</t>
  </si>
  <si>
    <t xml:space="preserve">30.4347476959229, -91.1791000366211</t>
  </si>
  <si>
    <t xml:space="preserve">BR 149 HOPE VI 1533 THOMAS H DELPIT BUTLER PLACE</t>
  </si>
  <si>
    <t xml:space="preserve">30.4341316223145, -91.1784973144531</t>
  </si>
  <si>
    <t xml:space="preserve">BR 160 2501 FLORIDA BOULEVARD</t>
  </si>
  <si>
    <t xml:space="preserve">30.450080871582, -91.1626968383789</t>
  </si>
  <si>
    <t xml:space="preserve">BR 161 SPANISH TOWN SITE 'A'</t>
  </si>
  <si>
    <t xml:space="preserve">30.4517517089844, -91.1785583496094</t>
  </si>
  <si>
    <t xml:space="preserve">BR 163 SPANISH TOWN SITE 'C'</t>
  </si>
  <si>
    <t xml:space="preserve">30.4556007385254, -91.1794815063477</t>
  </si>
  <si>
    <t xml:space="preserve">BR 164 SPANISH TOWN SITE 'D'</t>
  </si>
  <si>
    <t xml:space="preserve">30.4549160003662, -91.1773986816406</t>
  </si>
  <si>
    <t xml:space="preserve">BR 165 SPANISH TOWN SITE 'E'</t>
  </si>
  <si>
    <t xml:space="preserve">30.4550113677979, -91.1744766235352</t>
  </si>
  <si>
    <t xml:space="preserve">BR 166 OSBR TURKISH BATHS 208 OKLAHOMA ST</t>
  </si>
  <si>
    <t xml:space="preserve">30.4349803924561, -91.1856994628906</t>
  </si>
  <si>
    <t xml:space="preserve">BR 167 ADCO TRANSMISSION</t>
  </si>
  <si>
    <t xml:space="preserve">30.4503879547119, -91.1533813476563</t>
  </si>
  <si>
    <t xml:space="preserve">BR 169 OSBR DUANE &amp; GLACIER STREET LOTS</t>
  </si>
  <si>
    <t xml:space="preserve">30.4358501434326, -91.1864776611328</t>
  </si>
  <si>
    <t xml:space="preserve">BR 172 EBRRA 5756 BYRON ST.</t>
  </si>
  <si>
    <t xml:space="preserve">30.4945602416992, -91.1330032348633</t>
  </si>
  <si>
    <t xml:space="preserve">BR 173 EBRRA 4855 ENTERPRISE ST.</t>
  </si>
  <si>
    <t xml:space="preserve">30.4950294494629, -91.1314010620117</t>
  </si>
  <si>
    <t xml:space="preserve">BR 174 EBRRA 4854 BROADWAY ST.</t>
  </si>
  <si>
    <t xml:space="preserve">30.4950294494629, -91.1325378417969</t>
  </si>
  <si>
    <t xml:space="preserve">BR 175 2312 SCENIC HWY</t>
  </si>
  <si>
    <t xml:space="preserve">30.469030380249, -91.1681213378906</t>
  </si>
  <si>
    <t xml:space="preserve">BR 176 EBRRA CHINN ST. LOTS</t>
  </si>
  <si>
    <t xml:space="preserve">30.5305614471436, -91.1821823120117</t>
  </si>
  <si>
    <t xml:space="preserve">BR 177 EBRRA LINCOLN THEATER VICINITY SURVEY</t>
  </si>
  <si>
    <t xml:space="preserve">30.4384002685547, -91.175163269043</t>
  </si>
  <si>
    <t xml:space="preserve">BR 181 SMILEY HEIGHTS</t>
  </si>
  <si>
    <t xml:space="preserve">30.4715309143066, -91.1230773925781</t>
  </si>
  <si>
    <t xml:space="preserve">BR 183</t>
  </si>
  <si>
    <t xml:space="preserve">30.4502105712891, -91.1588287353516</t>
  </si>
  <si>
    <t xml:space="preserve">BR 196 N 26TH STREET</t>
  </si>
  <si>
    <t xml:space="preserve">30.4494800567627, -91.1620025634766</t>
  </si>
  <si>
    <t xml:space="preserve">BR 197 406 N24TH STREET</t>
  </si>
  <si>
    <t xml:space="preserve">30.4513702392578, -91.1633834838867</t>
  </si>
  <si>
    <t xml:space="preserve">BR 197 N 24TH STREET</t>
  </si>
  <si>
    <t xml:space="preserve">30.4513607025147, -91.1636581420898</t>
  </si>
  <si>
    <t xml:space="preserve">BR 199</t>
  </si>
  <si>
    <t xml:space="preserve">30.4245796203613, -91.1415176391602</t>
  </si>
  <si>
    <t xml:space="preserve">BR 200 HOTEL LINCOLN</t>
  </si>
  <si>
    <t xml:space="preserve">30.4441299438477, -91.1758422851563</t>
  </si>
  <si>
    <t xml:space="preserve">BR 203 PLANK FOOD HUB</t>
  </si>
  <si>
    <t xml:space="preserve">30.4857349395752, -91.1580123901367</t>
  </si>
  <si>
    <t xml:space="preserve">BR 204 PLANK GROCERY STORE</t>
  </si>
  <si>
    <t xml:space="preserve">30.4851799011231, -91.1582107543945</t>
  </si>
  <si>
    <t xml:space="preserve">BR 209 3044-3070 MONTERREY DRIVE SITE</t>
  </si>
  <si>
    <t xml:space="preserve">30.4768390655518, -91.0836563110352</t>
  </si>
  <si>
    <t xml:space="preserve">BR 215 2521 PLANK ROAD</t>
  </si>
  <si>
    <t xml:space="preserve">30.4701404571533, -91.1634979248047</t>
  </si>
  <si>
    <t xml:space="preserve">BR148 (HOPE VI GLACIER STREET)</t>
  </si>
  <si>
    <t xml:space="preserve">30.4349899291992, -91.185546875</t>
  </si>
  <si>
    <t xml:space="preserve">BR150 (HOPE VI TINGA STREET)</t>
  </si>
  <si>
    <t xml:space="preserve">30.4321403503418, -91.1797637939453</t>
  </si>
  <si>
    <t xml:space="preserve">BR151 (HOPE VI ALABAMA STREET)</t>
  </si>
  <si>
    <t xml:space="preserve">30.4307594299316, -91.1776885986328</t>
  </si>
  <si>
    <t xml:space="preserve">BR152 (HOPE VI ST JOSEPH STREET)</t>
  </si>
  <si>
    <t xml:space="preserve">30.4351501464844, -91.1817016601563</t>
  </si>
  <si>
    <t xml:space="preserve">BR153 (HOPE VI MARY STREET)</t>
  </si>
  <si>
    <t xml:space="preserve">30.4322700500488, -91.1832885742188</t>
  </si>
  <si>
    <t xml:space="preserve">BR154 (HOPE VI CALIFORNIA STREET)</t>
  </si>
  <si>
    <t xml:space="preserve">30.4301490783691, -91.1814270019531</t>
  </si>
  <si>
    <t xml:space="preserve">BR191 - N. 24TH STREET</t>
  </si>
  <si>
    <t xml:space="preserve">30.4512100219727, -91.1636505126953</t>
  </si>
  <si>
    <t xml:space="preserve">BR198 420 N 25TH STREET</t>
  </si>
  <si>
    <t xml:space="preserve">30.4516048431397, -91.1625747680664</t>
  </si>
  <si>
    <t xml:space="preserve">BROUSSARD PAINT</t>
  </si>
  <si>
    <t xml:space="preserve">BUCKY'S DOME</t>
  </si>
  <si>
    <t xml:space="preserve">C AND T CONTRACTORS</t>
  </si>
  <si>
    <t xml:space="preserve">CANE LAND DISTILLING COMPANY LLC</t>
  </si>
  <si>
    <t xml:space="preserve">Rum distillery</t>
  </si>
  <si>
    <t xml:space="preserve">kegs of rum</t>
  </si>
  <si>
    <t xml:space="preserve">30.4409770965576, -91.1886672973633</t>
  </si>
  <si>
    <t xml:space="preserve">CAPITAL PARK CDC BR107</t>
  </si>
  <si>
    <t xml:space="preserve">CENTRAL WASTEWATER TREATMENT PLANT</t>
  </si>
  <si>
    <t xml:space="preserve">30.4218597412109, -91.1953887939453</t>
  </si>
  <si>
    <t xml:space="preserve">CHEMICAL SPECIALISTS &amp; DEVELOPMENT INC</t>
  </si>
  <si>
    <t xml:space="preserve">Chemical - Vinyltoluene, Divinylbenzene, Para-Methylstyrene, and Para-tertiary-Butylstyrene (Trecora Baton Rouge)</t>
  </si>
  <si>
    <t xml:space="preserve">https://trecora.com/locations/baton-rouge/</t>
  </si>
  <si>
    <t xml:space="preserve">30.5783596038818, -91.2153167724609</t>
  </si>
  <si>
    <t xml:space="preserve">CLEAN HARBORS BATON ROUGE LLC</t>
  </si>
  <si>
    <t xml:space="preserve">30.5675506591797, -91.2063674926758</t>
  </si>
  <si>
    <t xml:space="preserve">CMC STEEL FABRICATOR INC -  CONCRETE ACCESSORIES</t>
  </si>
  <si>
    <t xml:space="preserve">Looks like a warehouse</t>
  </si>
  <si>
    <t xml:space="preserve">30.3530197143555, -91.0205993652344</t>
  </si>
  <si>
    <t xml:space="preserve">CMC STEEL FABRICATORS INC DBA CMC CAPITOL STEEL</t>
  </si>
  <si>
    <t xml:space="preserve">30.471715927124, -91.0182189941406</t>
  </si>
  <si>
    <t xml:space="preserve">CMC STEEL FABRICATORS INC. DBA CMC CAPITOL STEEL</t>
  </si>
  <si>
    <t xml:space="preserve">CN RAILROAD</t>
  </si>
  <si>
    <t xml:space="preserve">30.3794536590576, -91.2018432617188</t>
  </si>
  <si>
    <t xml:space="preserve">CVS PHARMACY #5319</t>
  </si>
  <si>
    <t xml:space="preserve">30.5025596618652, -91.1313323974609</t>
  </si>
  <si>
    <t xml:space="preserve">CVS PHARMACY #5615</t>
  </si>
  <si>
    <t xml:space="preserve">30.4705200195313, -91.1633605957031</t>
  </si>
  <si>
    <t xml:space="preserve">CVS PHARMACY #6124</t>
  </si>
  <si>
    <t xml:space="preserve">30.4517345428467, -91.1128921508789</t>
  </si>
  <si>
    <t xml:space="preserve">CVS PHARMACY #8309</t>
  </si>
  <si>
    <t xml:space="preserve">30.3934097290039, -91.1591491699219</t>
  </si>
  <si>
    <t xml:space="preserve">CVS PHARMACY #8961</t>
  </si>
  <si>
    <t xml:space="preserve">30.3841819763184, -91.0410614013672</t>
  </si>
  <si>
    <t xml:space="preserve">DANELL BATTERY MANUFACTURING CO</t>
  </si>
  <si>
    <t xml:space="preserve">30.4723796844482, -91.0602188110352</t>
  </si>
  <si>
    <t xml:space="preserve">DEFRANCES MARBLE</t>
  </si>
  <si>
    <t xml:space="preserve">DELTECH MONOMERS OPCO LLC - BATON ROUGE FACILITY</t>
  </si>
  <si>
    <t xml:space="preserve">duplicate entry (Trecora)</t>
  </si>
  <si>
    <t xml:space="preserve">30.55419921875, -91.1991806030273</t>
  </si>
  <si>
    <t xml:space="preserve">DOC, INC.</t>
  </si>
  <si>
    <t xml:space="preserve">DOLESE BROTHERS CO - CHOCTAW PLANT</t>
  </si>
  <si>
    <t xml:space="preserve">Sand pit</t>
  </si>
  <si>
    <t xml:space="preserve">https://www.dolese.com/</t>
  </si>
  <si>
    <t xml:space="preserve">tons of sand</t>
  </si>
  <si>
    <t xml:space="preserve">30.4696006774902, -91.1760101318359</t>
  </si>
  <si>
    <t xml:space="preserve">DR CHEVIES L NEWMAN DDS</t>
  </si>
  <si>
    <t xml:space="preserve">30.4444007873535, -91.144889831543</t>
  </si>
  <si>
    <t xml:space="preserve">E BATON ROUGE CITY-PAR (SOUTH)</t>
  </si>
  <si>
    <t xml:space="preserve">Wastewater treatment plant (Gardere Ln, south)</t>
  </si>
  <si>
    <t xml:space="preserve">https://www.brla.gov/391/Wastewater</t>
  </si>
  <si>
    <t xml:space="preserve">gallons of waste water per day</t>
  </si>
  <si>
    <t xml:space="preserve">30.3486194610596, -91.1361236572266</t>
  </si>
  <si>
    <t xml:space="preserve">EARL K LONG MEMORIAL HOSPITAL</t>
  </si>
  <si>
    <t xml:space="preserve">30.5035591125488, -91.1321868896484</t>
  </si>
  <si>
    <t xml:space="preserve">EBR CITY PARISH PROPERTY</t>
  </si>
  <si>
    <t xml:space="preserve">30.4348793029785, -91.1895904541016</t>
  </si>
  <si>
    <t xml:space="preserve">EBR DPW CLEANUP SITE</t>
  </si>
  <si>
    <t xml:space="preserve">30.4701690673828, -91.1559906005859</t>
  </si>
  <si>
    <t xml:space="preserve">30.389799118042, -91.1914672851563</t>
  </si>
  <si>
    <t xml:space="preserve">EBR-RDA GOVERNMENT STREET SITE</t>
  </si>
  <si>
    <t xml:space="preserve">30.4437103271484, -91.1726303100586</t>
  </si>
  <si>
    <t xml:space="preserve">ECO SERVICES BATON ROUGE SITE</t>
  </si>
  <si>
    <t xml:space="preserve">Chemical – sulfuric acid</t>
  </si>
  <si>
    <t xml:space="preserve">30.509859085083, -91.1846466064453</t>
  </si>
  <si>
    <t xml:space="preserve">EL SCOTT SITE DRUMS</t>
  </si>
  <si>
    <t xml:space="preserve">30.4999504089356, -91.0764923095703</t>
  </si>
  <si>
    <t xml:space="preserve">ELMER &amp; AVE K</t>
  </si>
  <si>
    <t xml:space="preserve">ENTERGY GSI LOUISIANA STATION 1</t>
  </si>
  <si>
    <t xml:space="preserve">Power plant (Louisiana Station 1)</t>
  </si>
  <si>
    <t xml:space="preserve">Self-powered</t>
  </si>
  <si>
    <t xml:space="preserve">30.4916152954102, -91.1862258911133</t>
  </si>
  <si>
    <t xml:space="preserve">ERGON OIL PURCHASING</t>
  </si>
  <si>
    <t xml:space="preserve">Oil transportation (not production)</t>
  </si>
  <si>
    <t xml:space="preserve">https://ergonterminaling.com/locations/</t>
  </si>
  <si>
    <t xml:space="preserve">30.5510807037354, -91.2005996704102</t>
  </si>
  <si>
    <t xml:space="preserve">ETHYL CORPORATION</t>
  </si>
  <si>
    <t xml:space="preserve">Chemical - Single site metallocene (polyethylene) catalysts, catalyst components including methylaluminoxane (MAO)</t>
  </si>
  <si>
    <t xml:space="preserve">https://grace.com/about-grace/locations/baton-rouge/</t>
  </si>
  <si>
    <t xml:space="preserve">30.4835586547852, -91.1834487915039</t>
  </si>
  <si>
    <t xml:space="preserve">EXIDE TECHNOLOGIES INC - BATON ROUGE RECYCLING CENTER</t>
  </si>
  <si>
    <t xml:space="preserve">Battery recycling, permanently closed</t>
  </si>
  <si>
    <t xml:space="preserve">30.5861682891846, -91.2450256347656</t>
  </si>
  <si>
    <t xml:space="preserve">EXXON CO USA MARYLAND TANK FARM</t>
  </si>
  <si>
    <t xml:space="preserve">Storage tanks</t>
  </si>
  <si>
    <t xml:space="preserve">30.5458335876465, -91.1833343505859</t>
  </si>
  <si>
    <t xml:space="preserve">EXXON MOBIL CORPORATION - BATON ROUGE RESIN FINISHING PLANT</t>
  </si>
  <si>
    <t xml:space="preserve">Chemical – adhesive resins</t>
  </si>
  <si>
    <t xml:space="preserve">https://corporate.exxonmobil.com/news/corporate-news/pioneering-a-new-automation-technology</t>
  </si>
  <si>
    <t xml:space="preserve">30.5750007629395, -91.1972198486328</t>
  </si>
  <si>
    <t xml:space="preserve">EXXONMOBIL  BATON ROUGE CHEMICAL PLANT</t>
  </si>
  <si>
    <t xml:space="preserve">Chemical – large variety of substances</t>
  </si>
  <si>
    <t xml:space="preserve">https://www.exxonmobilchemical.com/en</t>
  </si>
  <si>
    <t xml:space="preserve">30.4957695007324, -91.1731109619141</t>
  </si>
  <si>
    <t xml:space="preserve">EXXONMOBIL BATON ROUGE PLASTICS PLANT</t>
  </si>
  <si>
    <t xml:space="preserve">Chemical -polymers</t>
  </si>
  <si>
    <t xml:space="preserve">30.5520133972168, -91.1785202026367</t>
  </si>
  <si>
    <t xml:space="preserve">EXXONMOBIL BATON ROUGE REFINERY</t>
  </si>
  <si>
    <t xml:space="preserve">Oil refinery</t>
  </si>
  <si>
    <t xml:space="preserve">barrels of oil</t>
  </si>
  <si>
    <t xml:space="preserve">30.4849166870117, -91.1739196777344</t>
  </si>
  <si>
    <t xml:space="preserve">EXXONMOBIL CHEMICAL POLYOLEFINS PLANT</t>
  </si>
  <si>
    <t xml:space="preserve">Chemical – polyolefins</t>
  </si>
  <si>
    <t xml:space="preserve">30.5601387023926, -91.2054977416992</t>
  </si>
  <si>
    <t xml:space="preserve">EXXONMOBIL PIPELINE COMPANY LLC - BATON ROUGE TERMINAL</t>
  </si>
  <si>
    <t xml:space="preserve">30.4778308868408, -91.1686325073242</t>
  </si>
  <si>
    <t xml:space="preserve">FLOWER'S BAKING</t>
  </si>
  <si>
    <t xml:space="preserve">FLOWERS BAKING CO OF BATON ROUGE LLC - BATON ROUGE FACILITY</t>
  </si>
  <si>
    <t xml:space="preserve">30.4497604370117, -91.1735763549805</t>
  </si>
  <si>
    <t xml:space="preserve">FORMER JUBAN LUMBER</t>
  </si>
  <si>
    <t xml:space="preserve">30.4813899993897, -91.1595230102539</t>
  </si>
  <si>
    <t xml:space="preserve">FORMOSA PLASTICS LOUISIANA</t>
  </si>
  <si>
    <t xml:space="preserve">Chemical – plastics</t>
  </si>
  <si>
    <t xml:space="preserve">30.4982032775879, -91.1891479492188</t>
  </si>
  <si>
    <t xml:space="preserve">FUTURE PIPE INDUSTRIES INC</t>
  </si>
  <si>
    <t xml:space="preserve">30.3554306030273, -91.0465621948242</t>
  </si>
  <si>
    <t xml:space="preserve">GREENWELL/UREC</t>
  </si>
  <si>
    <t xml:space="preserve">GULF WANDES</t>
  </si>
  <si>
    <t xml:space="preserve">30.4713191986084, -91.0996398925781</t>
  </si>
  <si>
    <t xml:space="preserve">HIGHLAND LAUNDRY &amp; CLEANERS INC</t>
  </si>
  <si>
    <t xml:space="preserve">30.4271640777588, -91.1806716918945</t>
  </si>
  <si>
    <t xml:space="preserve">HOLCIM-SOR, INC. - PECUE</t>
  </si>
  <si>
    <t xml:space="preserve">Cement plant</t>
  </si>
  <si>
    <t xml:space="preserve">tons of cement</t>
  </si>
  <si>
    <t xml:space="preserve">30.3580513000488, -91.0474319458008</t>
  </si>
  <si>
    <t xml:space="preserve">HOLCIM-SOR, INC.-CHOCTAW</t>
  </si>
  <si>
    <t xml:space="preserve">30.4698791503906, -91.1358947753906</t>
  </si>
  <si>
    <t xml:space="preserve">HOLCIM-SOR, INC.-GREENWELL SPRINGS</t>
  </si>
  <si>
    <t xml:space="preserve">30.490047454834, -91.074089050293</t>
  </si>
  <si>
    <t xml:space="preserve">HUE'S SEAFOOD</t>
  </si>
  <si>
    <t xml:space="preserve">INDUSTRIAL FUMIGANT CO</t>
  </si>
  <si>
    <t xml:space="preserve">30.4739494323731, -91.079460144043</t>
  </si>
  <si>
    <t xml:space="preserve">INTERSTATE LOGOS LLC DBA LAMAR GRAPHICS</t>
  </si>
  <si>
    <t xml:space="preserve">30.4686908721924, -91.1106719970703</t>
  </si>
  <si>
    <t xml:space="preserve">INTERVET, INC. D/B/A MERCK ANIMAL HEALTH</t>
  </si>
  <si>
    <t xml:space="preserve">Pharmaceutical company</t>
  </si>
  <si>
    <t xml:space="preserve">https://www.merck.com/</t>
  </si>
  <si>
    <t xml:space="preserve">30.4735908508301, -91.0614700317383</t>
  </si>
  <si>
    <t xml:space="preserve">ISTROUMA LAUNDRY</t>
  </si>
  <si>
    <t xml:space="preserve">JONES AUTO REPAIR</t>
  </si>
  <si>
    <t xml:space="preserve">30.4701404571533, -91.157096862793</t>
  </si>
  <si>
    <t xml:space="preserve">LA MAR KA INC</t>
  </si>
  <si>
    <t xml:space="preserve">Chemical – variety, small-volume</t>
  </si>
  <si>
    <t xml:space="preserve">https://lmkchemical.com/</t>
  </si>
  <si>
    <t xml:space="preserve">30.4733505249023, -91.0698165893555</t>
  </si>
  <si>
    <t xml:space="preserve">LION COPOLYMER</t>
  </si>
  <si>
    <t xml:space="preserve">Chemical – polymers</t>
  </si>
  <si>
    <t xml:space="preserve">https://www.lionelastomers.com/</t>
  </si>
  <si>
    <t xml:space="preserve">30.50266456604, -91.1733932495117</t>
  </si>
  <si>
    <t xml:space="preserve">LOT 11A &amp; LOTS 12-20 OF JESSIE L. WEBB SUBDIVISION</t>
  </si>
  <si>
    <t xml:space="preserve">30.431999206543, -91.1876373291016</t>
  </si>
  <si>
    <t xml:space="preserve">LOT 13, SQ 1, LORENTE TOWN SUBDIVISION</t>
  </si>
  <si>
    <t xml:space="preserve">30.446159362793, -91.1771011352539</t>
  </si>
  <si>
    <t xml:space="preserve">LOT 150 GLEN OAKS PLACE</t>
  </si>
  <si>
    <t xml:space="preserve">30.5086364746094, -91.0966873168945</t>
  </si>
  <si>
    <t xml:space="preserve">LOT 17A, BALIS PROPERTY</t>
  </si>
  <si>
    <t xml:space="preserve">30.4241008758545, -91.1418228149414</t>
  </si>
  <si>
    <t xml:space="preserve">LOT 49 NORTH 46TH STREET</t>
  </si>
  <si>
    <t xml:space="preserve">30.4553642272949, -91.143440246582</t>
  </si>
  <si>
    <t xml:space="preserve">LOT 7&amp;8, SQ 3, ORPHAN HOME SITES SUBDIVISION</t>
  </si>
  <si>
    <t xml:space="preserve">30.451810836792, -91.1769790649414</t>
  </si>
  <si>
    <t xml:space="preserve">LOT 8-A AND UNDESIGNATED LOT</t>
  </si>
  <si>
    <t xml:space="preserve">30.4398403167725, -91.1533203125</t>
  </si>
  <si>
    <t xml:space="preserve">LOT B, VICTORIA</t>
  </si>
  <si>
    <t xml:space="preserve">30.4766292572022, -91.1174621582031</t>
  </si>
  <si>
    <t xml:space="preserve">LOT K AND LOT 38-P, MARYLAND FARMS SUBDIVISION</t>
  </si>
  <si>
    <t xml:space="preserve">30.5576610565186, -91.162971496582</t>
  </si>
  <si>
    <t xml:space="preserve">LOTS 1-4B &amp; 9-13, SQUARE 4, MAGNOLIAVILLE SUBURB</t>
  </si>
  <si>
    <t xml:space="preserve">30.4512367248535, -91.1772003173828</t>
  </si>
  <si>
    <t xml:space="preserve">LOTS 1-5, SQUARE 10, CAPITOL HEIGHTS SUBDIVISION</t>
  </si>
  <si>
    <t xml:space="preserve">30.444450378418, -91.1424026489258</t>
  </si>
  <si>
    <t xml:space="preserve">LOTS 1-6 &amp; 11-14, SQUARE 69, SUBURB ISTROUMA</t>
  </si>
  <si>
    <t xml:space="preserve">30.4773597717285, -91.1686019897461</t>
  </si>
  <si>
    <t xml:space="preserve">LOTS 10A, 12A &amp; B, VICTORIA FARMS SUBDIVISION</t>
  </si>
  <si>
    <t xml:space="preserve">LOTS 12-16 SQ 1, EDGEWOOD LAWN</t>
  </si>
  <si>
    <t xml:space="preserve">30.4553508758545, -91.1648330688477</t>
  </si>
  <si>
    <t xml:space="preserve">LOTS 14-19, C &amp; 21 OF SECTION 1 JOHNSTOWN SUBDIV</t>
  </si>
  <si>
    <t xml:space="preserve">LOTS 31-38, SQUARE 111, SOUTH BATON ROUGE</t>
  </si>
  <si>
    <t xml:space="preserve">30.4225425720215, -91.1876525878906</t>
  </si>
  <si>
    <t xml:space="preserve">LOTS 389, 390, 391 SECT 3 SECOND FILING STHRN HGHT</t>
  </si>
  <si>
    <t xml:space="preserve">30.5174617767334, -91.1707305908203</t>
  </si>
  <si>
    <t xml:space="preserve">LOTS 4 &amp; 5, SQUARE 8, FUGUA AND LAMON TOWN</t>
  </si>
  <si>
    <t xml:space="preserve">30.4448108673096, -91.1685180664063</t>
  </si>
  <si>
    <t xml:space="preserve">LOTS 45-A &amp; 47-A SQUARE 14 SUBURB SO. BATON ROUGE</t>
  </si>
  <si>
    <t xml:space="preserve">30.4287052154541, -91.1747436523438</t>
  </si>
  <si>
    <t xml:space="preserve">LOTS 5-1, 5-2, 5-3 OF STANDARD HARDWARE &amp; SUPPLY</t>
  </si>
  <si>
    <t xml:space="preserve">30.5194530487061, -91.1786880493164</t>
  </si>
  <si>
    <t xml:space="preserve">LOTS 50-52 SQUARE 47 GREENVILLE EXT</t>
  </si>
  <si>
    <t xml:space="preserve">30.453800201416, -91.1435089111328</t>
  </si>
  <si>
    <t xml:space="preserve">LOTS 8 &amp; 9 SQUARE 6 FUQUA &amp; LEMON TOWN</t>
  </si>
  <si>
    <t xml:space="preserve">30.4464092254639, -91.1691589355469</t>
  </si>
  <si>
    <t xml:space="preserve">LOTS A &amp; B OF BIRD TRACT</t>
  </si>
  <si>
    <t xml:space="preserve">30.464391708374, -91.1358413696289</t>
  </si>
  <si>
    <t xml:space="preserve">LOTS; ROSALIE PK; SQS. 5+6 AND PLANK RD</t>
  </si>
  <si>
    <t xml:space="preserve">30.4814491271973, -91.1598052978516</t>
  </si>
  <si>
    <t xml:space="preserve">LOUISIANA CHEMICAL U.S.A. LLC</t>
  </si>
  <si>
    <t xml:space="preserve">Chemical -small, permanently closed</t>
  </si>
  <si>
    <t xml:space="preserve">30.476110458374, -91.0745391845703</t>
  </si>
  <si>
    <t xml:space="preserve">LOUISIANA STATE UNIVERSITY - LSU</t>
  </si>
  <si>
    <t xml:space="preserve">30.4045104980469, -91.1683807373047</t>
  </si>
  <si>
    <t xml:space="preserve">MAC'S BODY SHOP</t>
  </si>
  <si>
    <t xml:space="preserve">MAIN STREET USA, INC.</t>
  </si>
  <si>
    <t xml:space="preserve">MARATHON PIPE LINE LLC - PLANTATION STORAGE FACILITY</t>
  </si>
  <si>
    <t xml:space="preserve">Oil products storage and pipeline</t>
  </si>
  <si>
    <t xml:space="preserve">https://www.gem.wiki/Plantation_Pipeline</t>
  </si>
  <si>
    <t xml:space="preserve">barrels of oil/day</t>
  </si>
  <si>
    <t xml:space="preserve">30.544900894165, -91.1660232543945</t>
  </si>
  <si>
    <t xml:space="preserve">MITEY MUFFLER</t>
  </si>
  <si>
    <t xml:space="preserve">30.5018978118897, -91.1055221557617</t>
  </si>
  <si>
    <t xml:space="preserve">MULTI SITE PLANK ROAD CORRIDOR STUDY</t>
  </si>
  <si>
    <t xml:space="preserve">30.4629001617432, -91.1659774780273</t>
  </si>
  <si>
    <t xml:space="preserve">N DUAL, LOT 3A</t>
  </si>
  <si>
    <t xml:space="preserve">NEAR MAIN AND 24TH</t>
  </si>
  <si>
    <t xml:space="preserve">NICHOLSON DRIVE SHOPPING CENTER - LDEQ</t>
  </si>
  <si>
    <t xml:space="preserve">30.4326934814453, -91.1879730224609</t>
  </si>
  <si>
    <t xml:space="preserve">NOLAN LOUIS</t>
  </si>
  <si>
    <t xml:space="preserve">NORTH STREET AND NORTH 32ND</t>
  </si>
  <si>
    <t xml:space="preserve">30.4536685943604, -91.1567840576172</t>
  </si>
  <si>
    <t xml:space="preserve">NORTHSIDE MOTOR EXHANGE - BR 34</t>
  </si>
  <si>
    <t xml:space="preserve">30.4539299011231, -91.1672821044922</t>
  </si>
  <si>
    <t xml:space="preserve">NOX-CRETE OF LOUISIANA INC</t>
  </si>
  <si>
    <t xml:space="preserve">Concrete plant</t>
  </si>
  <si>
    <t xml:space="preserve">30.5138607025147, -91.178581237793</t>
  </si>
  <si>
    <t xml:space="preserve">NPC SERVICES INC - PETRO-PROCESSORS OF LA INC SITE</t>
  </si>
  <si>
    <t xml:space="preserve">Waste management -permanently closed</t>
  </si>
  <si>
    <t xml:space="preserve">30.5845394134522, -91.2474822998047</t>
  </si>
  <si>
    <t xml:space="preserve">O'BRIEN HOUSE</t>
  </si>
  <si>
    <t xml:space="preserve">30.451250076294, -91.177619934082</t>
  </si>
  <si>
    <t xml:space="preserve">OLD CITY DOCKS OF BATON ROUGE, SOUTH BATON ROUGE</t>
  </si>
  <si>
    <t xml:space="preserve">30.4824237823486, -91.1924285888672</t>
  </si>
  <si>
    <t xml:space="preserve">OWEN BIOSCIENCES INC</t>
  </si>
  <si>
    <t xml:space="preserve">Chemical – small, custom</t>
  </si>
  <si>
    <t xml:space="preserve">30.3766899108887, -91.0486221313477</t>
  </si>
  <si>
    <t xml:space="preserve">OWEN BIOSCIENCES INC.</t>
  </si>
  <si>
    <t xml:space="preserve">OXBOW CALCINING LLC - BATON ROUGE CALCINED COKE PLANT</t>
  </si>
  <si>
    <t xml:space="preserve">Chemical – calcined coke</t>
  </si>
  <si>
    <t xml:space="preserve">30.5834808349609, -91.2405471801758</t>
  </si>
  <si>
    <t xml:space="preserve">PERSONAL TOUCH CAR WASH AND USED TIRE</t>
  </si>
  <si>
    <t xml:space="preserve">30.4357109069824, -91.1849212646484</t>
  </si>
  <si>
    <t xml:space="preserve">PINCH A PENNY #221</t>
  </si>
  <si>
    <t xml:space="preserve">30.4101791381836, -91.0514068603516</t>
  </si>
  <si>
    <t xml:space="preserve">PLANK ROAD</t>
  </si>
  <si>
    <t xml:space="preserve">30.4639892578125, -91.165641784668</t>
  </si>
  <si>
    <t xml:space="preserve">PORTABLE READY MIX 130</t>
  </si>
  <si>
    <t xml:space="preserve">Cement</t>
  </si>
  <si>
    <t xml:space="preserve">30.3896331787109, -91.0701904296875</t>
  </si>
  <si>
    <t xml:space="preserve">PROGRESS PARK</t>
  </si>
  <si>
    <t xml:space="preserve">PSC CONTAINER SERVICES, LLC</t>
  </si>
  <si>
    <t xml:space="preserve">30.4914894104004, -91.1233825683594</t>
  </si>
  <si>
    <t xml:space="preserve">PURUS SOLUTIONS LLC</t>
  </si>
  <si>
    <t xml:space="preserve">PPE/cleanroom sanitary equipment</t>
  </si>
  <si>
    <t xml:space="preserve">30.4162292480469, -91.137565612793</t>
  </si>
  <si>
    <t xml:space="preserve">R &amp; L CARRIERS</t>
  </si>
  <si>
    <t xml:space="preserve">30.3460674285889, -91.0294799804688</t>
  </si>
  <si>
    <t xml:space="preserve">REO PROCESSING WEST VIRGINIA</t>
  </si>
  <si>
    <t xml:space="preserve">30.5152111053467, -91.1787643432617</t>
  </si>
  <si>
    <t xml:space="preserve">RIVERLAND INDUSTRIES INC</t>
  </si>
  <si>
    <t xml:space="preserve">transport of chemicals (very uninformative website)</t>
  </si>
  <si>
    <t xml:space="preserve">https://www.riverlandindustries.com/</t>
  </si>
  <si>
    <t xml:space="preserve">30.5579299926758, -91.2013168334961</t>
  </si>
  <si>
    <t xml:space="preserve">RUBICON LLC</t>
  </si>
  <si>
    <t xml:space="preserve">Chemical – polyurethane, Methylene Diphenyl Diisocyanate (MDI)</t>
  </si>
  <si>
    <t xml:space="preserve">kilotons of MDI/year</t>
  </si>
  <si>
    <t xml:space="preserve">30.4683704376221, -91.1884918212891</t>
  </si>
  <si>
    <t xml:space="preserve">SCENIC HIGHWAY</t>
  </si>
  <si>
    <t xml:space="preserve">30.4882144927979, -91.1695709228516</t>
  </si>
  <si>
    <t xml:space="preserve">SCHERING PLOUGH ANIMAL HEALTH CORP - W DUAL DR FACILITY</t>
  </si>
  <si>
    <t xml:space="preserve">30.4731121063232, -91.0666427612305</t>
  </si>
  <si>
    <t xml:space="preserve">SHADA PLANTATION</t>
  </si>
  <si>
    <t xml:space="preserve">30.5187301635742, -91.1781234741211</t>
  </si>
  <si>
    <t xml:space="preserve">SOLSTICE ADVANCED MATERIALS US INC - BATON ROUGE FACILITY</t>
  </si>
  <si>
    <t xml:space="preserve">Chemical – specialized</t>
  </si>
  <si>
    <t xml:space="preserve">30.4722213745117, -91.1930541992188</t>
  </si>
  <si>
    <t xml:space="preserve">SOUTH CHOCTAW BATCH PLANT</t>
  </si>
  <si>
    <t xml:space="preserve">Cement, small</t>
  </si>
  <si>
    <t xml:space="preserve">30.4715404510498, -91.0920333862305</t>
  </si>
  <si>
    <t xml:space="preserve">SOUTH WASTEWATER TREATMENT PLANT</t>
  </si>
  <si>
    <t xml:space="preserve">30.3497219085693, -91.1369476318359</t>
  </si>
  <si>
    <t xml:space="preserve">SOUTHERN IONICS INC</t>
  </si>
  <si>
    <t xml:space="preserve">Chemical, small or just a distribution warehouse</t>
  </si>
  <si>
    <t xml:space="preserve">30.4684200286865, -91.1776428222656</t>
  </si>
  <si>
    <t xml:space="preserve">SPAIN STREET AT 19TH STREET</t>
  </si>
  <si>
    <t xml:space="preserve">30.4448394775391, -91.16796875</t>
  </si>
  <si>
    <t xml:space="preserve">SPECIALTY METALS</t>
  </si>
  <si>
    <t xml:space="preserve">30.4693393707275, -91.1653823852539</t>
  </si>
  <si>
    <t xml:space="preserve">SPECIALTY METALS &amp; MINERALS</t>
  </si>
  <si>
    <t xml:space="preserve">30.4715595245361, -91.1544723510742</t>
  </si>
  <si>
    <t xml:space="preserve">SPEDALE TRACT</t>
  </si>
  <si>
    <t xml:space="preserve">STUPP COATINGS LLC</t>
  </si>
  <si>
    <t xml:space="preserve">Pipeline manufacturer</t>
  </si>
  <si>
    <t xml:space="preserve">https://www.stuppcorp.com/</t>
  </si>
  <si>
    <t xml:space="preserve">30.5651206970215, -91.1817779541016</t>
  </si>
  <si>
    <t xml:space="preserve">STUPP CORP</t>
  </si>
  <si>
    <t xml:space="preserve">30.5591125488281, -91.1767654418945</t>
  </si>
  <si>
    <t xml:space="preserve">SUN COAST RESOURCES INC</t>
  </si>
  <si>
    <t xml:space="preserve">Fuel distribution (not manufacturing)</t>
  </si>
  <si>
    <t xml:space="preserve">30.5305690765381, -91.1653366088867</t>
  </si>
  <si>
    <t xml:space="preserve">SWIM DISTRIBUTORS OF BATON ROUGE</t>
  </si>
  <si>
    <t xml:space="preserve">30.4726219177246, -91.0444030761719</t>
  </si>
  <si>
    <t xml:space="preserve">SYENSQO USA LLC</t>
  </si>
  <si>
    <t xml:space="preserve">30.5088882446289, -91.1875</t>
  </si>
  <si>
    <t xml:space="preserve">SYNGENTA CROP PROTECTION, LLC</t>
  </si>
  <si>
    <t xml:space="preserve">Pesticides, just distribution</t>
  </si>
  <si>
    <t xml:space="preserve">30.4339141845703, -91.1907653808594</t>
  </si>
  <si>
    <t xml:space="preserve">TESSIER BUILDING</t>
  </si>
  <si>
    <t xml:space="preserve">30.4497299194336, -91.1894607543945</t>
  </si>
  <si>
    <t xml:space="preserve">TEXACO INC</t>
  </si>
  <si>
    <t xml:space="preserve">30.5138893127441, -91.182502746582</t>
  </si>
  <si>
    <t xml:space="preserve">THE MEDICAL CLINIC</t>
  </si>
  <si>
    <t xml:space="preserve">30.4482898712158, -91.1507873535156</t>
  </si>
  <si>
    <t xml:space="preserve">TRINITY MARINE BATON ROUGE</t>
  </si>
  <si>
    <t xml:space="preserve">30.3923950195313, -91.2082214355469</t>
  </si>
  <si>
    <t xml:space="preserve">UNDESIGNATED LOT</t>
  </si>
  <si>
    <t xml:space="preserve">30.3619594573975, -91.0012435913086</t>
  </si>
  <si>
    <t xml:space="preserve">UNIVAR SOLUTIONS USA INC</t>
  </si>
  <si>
    <t xml:space="preserve">30.4723606109619, -91.0609664916992</t>
  </si>
  <si>
    <t xml:space="preserve">UOP LLC - BATON ROUGE PLANT</t>
  </si>
  <si>
    <t xml:space="preserve">duplicate entry (Honeywell/Solstice)</t>
  </si>
  <si>
    <t xml:space="preserve">30.5074806213379, -91.1855697631836</t>
  </si>
  <si>
    <t xml:space="preserve">VACANT HT/18/8</t>
  </si>
  <si>
    <t xml:space="preserve">W R GRACE &amp; CO CONN - BATON ROUGE FACILITY</t>
  </si>
  <si>
    <t xml:space="preserve">duplicate entry (Albemarle)</t>
  </si>
  <si>
    <t xml:space="preserve">30.4951000213623, -91.178596496582</t>
  </si>
  <si>
    <t xml:space="preserve">W. R. GRACE &amp; CO - CONN</t>
  </si>
  <si>
    <t xml:space="preserve">30.4952430725098, -91.17822265625</t>
  </si>
  <si>
    <t xml:space="preserve">WALGREENS #2982</t>
  </si>
  <si>
    <t xml:space="preserve">30.499080657959, -91.1532974243164</t>
  </si>
  <si>
    <t xml:space="preserve">WEST SANITATION SERVICES, INC. DBA AEROWEST INTERNATIONAL</t>
  </si>
  <si>
    <t xml:space="preserve">30.4700431823731, -91.1115112304688</t>
  </si>
  <si>
    <t xml:space="preserve">WILLIAM DRAGO, TRACT E</t>
  </si>
  <si>
    <t xml:space="preserve">30.5211791992188, -91.1795806884766</t>
  </si>
  <si>
    <t xml:space="preserve">ZEP MFG.CO.</t>
  </si>
  <si>
    <t xml:space="preserve">30.4726600646973, -91.0687637329102</t>
  </si>
  <si>
    <t xml:space="preserve">HISTORIC GREENWELL SPRINGS HOTEL AND RESORT</t>
  </si>
  <si>
    <t xml:space="preserve">30.5781593322754, -90.9943237304688</t>
  </si>
  <si>
    <t xml:space="preserve">USEPA Region 06 Geospatial Data of Regulated Facilities or Cleanup Locations/GREENWELL SPRINGS</t>
  </si>
  <si>
    <t xml:space="preserve">O'REILLY AUTO STORE 629</t>
  </si>
  <si>
    <t xml:space="preserve">30.489185333252, -91.0754928588867</t>
  </si>
  <si>
    <t xml:space="preserve">BATON ROUGE, CITY OF</t>
  </si>
  <si>
    <t xml:space="preserve">Wastewater treatment plant (Woodpecker st, north)</t>
  </si>
  <si>
    <t xml:space="preserve">30.5342597961426, -91.2015914916992</t>
  </si>
  <si>
    <t xml:space="preserve">USEPA Region 06 Geospatial Data of Regulated Facilities or Cleanup Locations/SCOTLANDVILLE</t>
  </si>
  <si>
    <t xml:space="preserve">E BATON ROUGE CITY-PAR (NORTH)</t>
  </si>
  <si>
    <t xml:space="preserve">BASF</t>
  </si>
  <si>
    <t xml:space="preserve">Chemical, large (BASF Geismar, multiple facilities and products)</t>
  </si>
  <si>
    <t xml:space="preserve">https://www.basf.com/us/en/who-we-are/organization/locations/find-out-about-basf-in---/Louisiana/about-louisiana</t>
  </si>
  <si>
    <t xml:space="preserve">30.6132507324219, -91.2333297729492</t>
  </si>
  <si>
    <t xml:space="preserve">USEPA Region 06 Geospatial Data of Regulated Facilities or Cleanup Locations/ZACHARY</t>
  </si>
  <si>
    <t xml:space="preserve">EBR NORTH LANDFILL</t>
  </si>
  <si>
    <t xml:space="preserve">30.5979995727539, -91.2313995361328</t>
  </si>
  <si>
    <t xml:space="preserve">FLORIDA GAS TRANSMISSION CO LLC - ZACHARY COMPRESSOR STATION #8</t>
  </si>
  <si>
    <t xml:space="preserve">Compressor station for gas transmission</t>
  </si>
  <si>
    <t xml:space="preserve">30.6326999664307, -91.1171035766602</t>
  </si>
  <si>
    <t xml:space="preserve">GENESIS CRUDE OIL LP - PORT HUDSON TRUCKING FACILITY</t>
  </si>
  <si>
    <t xml:space="preserve">30.6551971435547, -91.269905090332</t>
  </si>
  <si>
    <t xml:space="preserve">GEORGIA-PACIFIC CONSUMER OPERATIONS LLC - PORT HUDSON OPERATIONS</t>
  </si>
  <si>
    <t xml:space="preserve">Chemical – plastic and paper-based packaging products</t>
  </si>
  <si>
    <t xml:space="preserve">30.6506443023682, -91.2811660766602</t>
  </si>
  <si>
    <t xml:space="preserve">GREAT STATES GALVANIZING</t>
  </si>
  <si>
    <t xml:space="preserve">Steel galvanizing plant</t>
  </si>
  <si>
    <t xml:space="preserve">https://southatlanticllc.com/?utm_source=google&amp;utm_medium=organic&amp;utm_campaign=GMB</t>
  </si>
  <si>
    <t xml:space="preserve">30.6401462554932, -91.2522506713867</t>
  </si>
  <si>
    <t xml:space="preserve">HOLCIM-SOR, INC. - ZACHARY</t>
  </si>
  <si>
    <t xml:space="preserve">30.64479637146, -91.250114440918</t>
  </si>
  <si>
    <t xml:space="preserve">PLANTATION PIPELINE CO - PEAIRS ROAD REMEDIATION SITE</t>
  </si>
  <si>
    <t xml:space="preserve">30.6434059143066, -91.0311050415039</t>
  </si>
  <si>
    <t xml:space="preserve">PORT HUDSON CENTRAL TANK BATTERY</t>
  </si>
  <si>
    <t xml:space="preserve">duplicate entry (Georgia Pacific)</t>
  </si>
  <si>
    <t xml:space="preserve">30.655330657959, -91.2708282470703</t>
  </si>
  <si>
    <t xml:space="preserve">REVIVE SOFTWASH</t>
  </si>
  <si>
    <t xml:space="preserve">30.6508007049561, -91.1493453979492</t>
  </si>
  <si>
    <t xml:space="preserve">SPECIALTY MINERALS INC</t>
  </si>
  <si>
    <t xml:space="preserve">Chemical (calcium carbonate, precipitated/ground)</t>
  </si>
  <si>
    <t xml:space="preserve">30.6495399475098, -91.2841110229492</t>
  </si>
  <si>
    <t xml:space="preserve">THOMPSON PIPE GROUP - FLOWTITE - US COMPOSITE PIPE SOUTH LLC</t>
  </si>
  <si>
    <t xml:space="preserve">Closed</t>
  </si>
  <si>
    <t xml:space="preserve">https://www.brla.gov/m/newsflash/home/detail/266</t>
  </si>
  <si>
    <t xml:space="preserve">30.6289482116699, -91.2449951171875</t>
  </si>
  <si>
    <t xml:space="preserve">links for throughput</t>
  </si>
  <si>
    <t xml:space="preserve">Energy usage [GWH/year]</t>
  </si>
  <si>
    <t xml:space="preserve">Power description</t>
  </si>
  <si>
    <t xml:space="preserve">Links for power</t>
  </si>
  <si>
    <t xml:space="preserve">https://www.airproducts.com/sitecore/content/press-releases/2021/10/1014-air-products-blue-hydrogen-clean-energy-complex-in-louisianahttps://www.airproducts.com/sitecore/content/press-releases/2021/10/1014-air-products-blue-hydrogen-clean-energy-complex-in-louisiana, https://www.airproducts.com/company/news-center/2020/07/0701-air-products-new-gases-plant-in-louisiana-onstream-and-supplying-huntsman</t>
  </si>
  <si>
    <t xml:space="preserve">6500000 cu ft/day CO, 50000000 cu ft/day H2, 50000 pounds/h steam</t>
  </si>
  <si>
    <t xml:space="preserve">117515 kg H2, 213509kg CO
0.8kWh/day per kg H2 =94.012MWh/day</t>
  </si>
  <si>
    <t xml:space="preserve">https://www.iea.org/data-and-statistics/charts/comparison-of-the-emissions-intensity-of-different-hydrogen-production-routes-2021</t>
  </si>
  <si>
    <t xml:space="preserve">18.5 million GJ/year *23% grid electricity</t>
  </si>
  <si>
    <t xml:space="preserve">https://www.albemarle.com/cl/en/sustainability/sustainability-reporting-resources/sustainability-performance-data</t>
  </si>
  <si>
    <t xml:space="preserve">https://www.zoominfo.com/c/barriere-construction/5358817</t>
  </si>
  <si>
    <t xml:space="preserve">tons of asphalt per hour</t>
  </si>
  <si>
    <t xml:space="preserve">5.54kWh/ton (worst case)</t>
  </si>
  <si>
    <t xml:space="preserve">https://www.sciencedirect.com/science/article/pii/S221450952200119X</t>
  </si>
  <si>
    <t xml:space="preserve">https://www.wafb.com/story/4923309/a-history-of-coca-cola-in-baton-rouge-1971/</t>
  </si>
  <si>
    <t xml:space="preserve">Coke bottles/day</t>
  </si>
  <si>
    <t xml:space="preserve">Second source, as the first one seems suspiciously low
76.8kWh/m^3 Coke, assumed equivalent to 2k 0.5l bottles</t>
  </si>
  <si>
    <t xml:space="preserve">https://www.google.com/url?sa=t&amp;source=web&amp;rct=j&amp;opi=89978449&amp;url=https://www.cocacolaep.com/assets/Download-centre/2024-CCEP-Sustainability-Group-data.pdf&amp;ved=2ahUKEwiR_pTkmoiVAxXo38kDHTXZGakQFnoECB0QAQ&amp;usg=AOvVaw0StvucHnhWOj2Xl1vgvsin,https://cleanenergy.org/news/renewablecocacola/</t>
  </si>
  <si>
    <t xml:space="preserve">Assumed insignificant</t>
  </si>
  <si>
    <t xml:space="preserve">https://lsureveille.com/150236/news/rum-distillery-plans-to-make-use-of-louisiana-sugar-cane/</t>
  </si>
  <si>
    <t xml:space="preserve">cases of rum/year</t>
  </si>
  <si>
    <t xml:space="preserve">3.45kWh/l, so 31.05kWh/case (9l)</t>
  </si>
  <si>
    <t xml:space="preserve">https://www.kraftblock.com/blog/thermal-energy-storage-for-ethanol-production-cost-efficient-and-easy-electrification</t>
  </si>
  <si>
    <t xml:space="preserve">From average</t>
  </si>
  <si>
    <t xml:space="preserve">Ready-mix cement plant</t>
  </si>
  <si>
    <t xml:space="preserve">unknown</t>
  </si>
  <si>
    <t xml:space="preserve">tons of cement,not given</t>
  </si>
  <si>
    <t xml:space="preserve">10-50kWh/ton (assume 30kWh)
Since quantity not given, assumed upper value for medium plant (100kVA)</t>
  </si>
  <si>
    <t xml:space="preserve">https://www.epmachine.com/how-much-electricity-does-a-concrete-plant-use/,
https://aimixmining.wordpress.com/2025/09/10/understanding-utility-and-power-requirements-in-rmc-plant-setup-cost/</t>
  </si>
  <si>
    <t xml:space="preserve">10kBtu/gallon=2.9307kWh/gallon
Suspiciously high result (so old rejected assumption), 0.3-0.8kWh/M^3 (assume 0.8)</t>
  </si>
  <si>
    <t xml:space="preserve">https://www.google.com/url?sa=t&amp;source=web&amp;rct=j&amp;opi=89978449&amp;url=https://www.energystar.gov/sites/default/files/tools/DataTrends_Wastewater_20150129.pdf&amp;ved=2ahUKEwidrN-91vuUAxVKMtAFHakLGH0QFnoECBkQAQ&amp;usg=AOvVaw1XA01xWxXtPS_dJgQCng23,https://www.sciencedirect.com/science/article/pii/S2949821X25000523/pdfft?crasolve=1&amp;r=a0b5220bbff215f6&amp;ts=1781396046688&amp;rtype=https&amp;vrr=UKN&amp;redir=UKN&amp;redir_fr=UKN&amp;redir_arc=UKN&amp;vhash=UKN&amp;host=d3d3LnNjaWVuY2VkaXJlY3QuY29t&amp;tsoh=d3d3LnNjaWVuY2VkaXJlY3QuY29t&amp;rh=d3d3LnNjaWVuY2VkaXJlY3QuY29t&amp;re=X2JsYW5rXw%3D%3D&amp;ns_h=d3d3LnNjaWVuY2VkaXJlY3QuY29t&amp;ns_e=X2JsYW5rXw%3D%3D&amp;rh_fd=rrr)n%5Ed%60i%5E%60_dm%60%5Eo)%5Ejh&amp;tsoh_fd=rrr)n%5Ed%60i%5E%60_dm%60%5Eo)%5Ejh&amp;hc=~rrr)n%5Ed%60i%5E%60_dm%60%5Eo)%5Ejhwrrr)n%5Ed%60i%5E%60_dm%60%5Eo)%5Ejhwrrr)n%5Ed%60i%5E%60_dm%60%5Eo)%5Ejh&amp;iv=303d115edba02c5fd097d54d01016c63&amp;token=34346131613465346164646538616633393137353938373465663230393065643363373830323164356131353966643966623762353963323462666335333332353466643966643635396139353530623031636262353839623065393364636563343730393064313a363266663063643738386261656661643331633664383461&amp;text=93845dcbc3a0b36fb64c127b50e07b0a65e569ffac653d16326ac290a980984a9dba4b3d65ab5fe19c1f6297b24c3bc7a991fead6bb5bf0f0540509f386148f17a920a9ffdd61447a10cdf62a6f93639a3f76c6471b4904ee32f858399a595bed6841f3a9bad9c1f8b091ce3c12318a4ab8dd19ad55a850842341a697259f44181278ffaac5a8b450d235b043176bca31d82c25fa69a909921cf70242e231ba5bc75ce4220d229bb5cd75fd3e84eae9d6964d6b46f3ac356280e306538df33317f9f4389aacef0b19fc5549bf9fd107dd24cf52e5524db3d69b43b0ffa49f0f317f77e5b3e2ee8ffe97e507e1e62f618e3a1f2e48cd7ef3f8249a2149823ed5d3c9d13e9f9dcd3d173f6dd3d703c8de05179d8cc3ef22afdea7df33ad85a896ac527de1b79bf3df7a87a1fbbb90895e5&amp;original=3f6d64353d3532316264636435393533653833636334633966326335666231666161353064267069643d312d73322e302d53323934393832315832353030303532332d6d61696e2e706466&amp;chkp=1c&amp;rack=a0b5220bbff215f6</t>
  </si>
  <si>
    <t xml:space="preserve">https://ehscareers.com/company/eco-services-operations-llc-707443</t>
  </si>
  <si>
    <t xml:space="preserve">Short tons per year H2SO4 (one eighth of eight plants combined)</t>
  </si>
  <si>
    <t xml:space="preserve">60kWh/mt</t>
  </si>
  <si>
    <t xml:space="preserve">https://www.google.com/url?sa=t&amp;source=web&amp;rct=j&amp;opi=89978449&amp;url=https://mcilvainecompany.com/Decision_Tree/subscriber/Tree/DescriptionTextLinks/BabWilcox/SulfurOutotecBrochure.pdf&amp;ved=2ahUKEwi147yHov6UAxV-hIkEHccqHQ8QFnoECBoQAQ&amp;usg=AOvVaw0Fh4n8YTw1b1-V87oX1ocw</t>
  </si>
  <si>
    <t xml:space="preserve">https://grace.com/about-grace/locations/baton-rouge/, https://www.nytimes.com/1958/01/10/archives/grace-dedicates-polyethylene-unit.html</t>
  </si>
  <si>
    <t xml:space="preserve">tons polyethylene/year</t>
  </si>
  <si>
    <t xml:space="preserve">Assumed LDPE and just polymerization (8MJ/kg), not steam cracking (additional 20MJ/kg)</t>
  </si>
  <si>
    <t xml:space="preserve">https://www.google.com/url?sa=t&amp;source=web&amp;rct=j&amp;url=http%3A%2F%2Fwww.polydynamics.com%2FGREENHOUSE_GASES_INTERNET_VERSION_WORLD_BANK.pdf&amp;ved=0CAUQ1fkOahcKEwjg_PT8sP-UAxUAAAAAHQAAAAAQAw&amp;opi=89978449</t>
  </si>
  <si>
    <t xml:space="preserve">https://corporate.exxonmobil.com/news/corporate-news/pioneering-a-new-automation-technology, https://www.argusmedia.com/en/news-and-insights/market-opinion-and-analysis-blog/how-will-exxonmobils-us-tackifier-closure-affect-the-us-market</t>
  </si>
  <si>
    <t xml:space="preserve"> 47kt C5 resin and 50kt HHCR resin/year</t>
  </si>
  <si>
    <t xml:space="preserve">Closed in 2024 according to source</t>
  </si>
  <si>
    <t xml:space="preserve">Closed, so 0</t>
  </si>
  <si>
    <t xml:space="preserve">https://www.exxonmobilchemical.com/en, https://www.google.com/url?sa=t&amp;source=web&amp;rct=j&amp;opi=89978449&amp;url=https://corporate.exxonmobil.com/-/media/global/files/locations/united-states-operations/baton-rouge/2022-brcp-fact-sheet.pdf&amp;ved=2ahUKEwiS56GUkf2UAxUpLtAFHUucI70QFnoECBkQAQ&amp;usg=AOvVaw0eq7EMlLh_Z5g40dBPQ4AK</t>
  </si>
  <si>
    <t xml:space="preserve"> 6.6 billion pounds of
petrochemical products
manufactured annually</t>
  </si>
  <si>
    <t xml:space="preserve">Assumed IPA production as that is one of the mentioned substances, and not all of them are mentioned (2.6MWh to produce 41.8kt IPA)</t>
  </si>
  <si>
    <t xml:space="preserve">https://www.google.com/url?sa=t&amp;source=web&amp;rct=j&amp;url=https%3A%2F%2Fpsecommunity.org%2Fwp-content%2Fplugins%2Fwpor%2Fincludes%2Ffile%2F2506%2FLAPSE-2025.0227-1v1.pdf&amp;ved=0CAEQ1fkOahcKEwjop4Hzt4WVAxUAAAAAHQAAAAAQBQ&amp;opi=89978449</t>
  </si>
  <si>
    <t xml:space="preserve">https://www.exxonmobilchemical.com/en, https://corporate.exxonmobil.com/news/news-releases/2022/1206_exxonmobil-doubles-polypropylene-production-at-baton-rouge, https://corporate.exxonmobil.com/-/media/global/files/locations/united-states-operations/baton-rouge/2022-brpp-fact-sheet.pdf</t>
  </si>
  <si>
    <t xml:space="preserve"> 923 million pounds of low density
polyethylene, 265 million pounds ethylene
elastomers and 175 million pounds of
resins manufactured annually</t>
  </si>
  <si>
    <t xml:space="preserve">930.44GWh/year for just LDPE using the same assumptions as for Ethyl corp.
Synthetic rubbers (like EPR or EPDM) 100MJ/kg - 
3339GWh/year
Polyolefin resins 73-91MJ/kg, but 50Mj/kg provided by the feedstock, so assume 32MJ/kg (8.89kWh/kg)
706.47GWh/year</t>
  </si>
  <si>
    <t xml:space="preserve">https://www.researchgate.net/publication/228778128_Natural_rubber_and_NR-based_polymers_renewable_materials_with_unique_properties/download?_tp=eyJjb250ZXh0Ijp7ImZpcnN0UGFnZSI6Il9kaXJlY3QiLCJwYWdlIjoiX2RpcmVjdCJ9fQ, https://www.sciencedirect.com/science/article/pii/S2542435120306267</t>
  </si>
  <si>
    <t xml:space="preserve">https://www.google.com/url?sa=t&amp;source=web&amp;rct=j&amp;url=https%3A%2F%2Fcorporate.exxonmobil.com%2F-%2Fmedia%2Fglobal%2Ffiles%2Flocations%2Funited-states-operations%2Fbaton-rouge%2F2022-brrf-fact-sheet.pdf&amp;ved=0CAYQ1fkOahcKEwiwgpKhi_yVAxUAAAAAHQAAAAAQBA&amp;opi=89978449</t>
  </si>
  <si>
    <t xml:space="preserve">Same assumption as Marathon</t>
  </si>
  <si>
    <t xml:space="preserve">https://corporate.exxonmobil.com/news/news-releases/2022/1206_exxonmobil-doubles-polypropylene-production-at-baton-rouge</t>
  </si>
  <si>
    <t xml:space="preserve">metric tons polypropylene/year</t>
  </si>
  <si>
    <t xml:space="preserve">Same assumption as polyolefin resins</t>
  </si>
  <si>
    <t xml:space="preserve">https://www.sciencedirect.com/science/article/pii/S2542435120306267</t>
  </si>
  <si>
    <t xml:space="preserve">https://www.opportunitylouisiana.gov/news/gov-edwards-and-formosa-plastics-announce-332-million-expansion</t>
  </si>
  <si>
    <t xml:space="preserve">300 million pounds of annual resin production </t>
  </si>
  <si>
    <t xml:space="preserve">Assumed polyolefin resins, see Exxonmobile Plastics</t>
  </si>
  <si>
    <t xml:space="preserve">Cement terminal</t>
  </si>
  <si>
    <t xml:space="preserve">100kWh/ton of cement if it was produced there. But according to the second link, these are just shipping/storage terminals that do not produce cement</t>
  </si>
  <si>
    <t xml:space="preserve">https://www.researchgate.net/publication/301645848_Determination_of_correlation_between_specific_energy_consumption_and_vibration_of_a_raw_mill_in_cement_industry, https://cementdistribution.com/wp-content/uploads/2016/10/us_import_overview.pdf</t>
  </si>
  <si>
    <t xml:space="preserve">distribution only</t>
  </si>
  <si>
    <t xml:space="preserve">https://cementdistribution.com/wp-content/uploads/2016/10/us_import_overview.pdf</t>
  </si>
  <si>
    <t xml:space="preserve">Veterinary company, making ear tags for livestock</t>
  </si>
  <si>
    <t xml:space="preserve">Chemical – polymers (formerly, now appears to be a biorefinery)</t>
  </si>
  <si>
    <t xml:space="preserve">https://www.lionelastomers.com/, https://www.nola.com/renewable-energy-completes-20-million-deal-for-geismar-acreage-considering-biorefinery-upgrades-to-boost-production/article_e5839c45-022a-5d9a-b37a-7ecfa80000ed.html</t>
  </si>
  <si>
    <t xml:space="preserve">gallons of fuel from animal waste and fats (Renewable Energy Group) per year</t>
  </si>
  <si>
    <t xml:space="preserve">0.19kWh/gallon</t>
  </si>
  <si>
    <t xml:space="preserve">https://downloads.regulations.gov/EPA-HQ-OAR-2011-0542-0010/content.pdf</t>
  </si>
  <si>
    <t xml:space="preserve">8.87kWh/barrel or  0.211kWh/gallon</t>
  </si>
  <si>
    <t xml:space="preserve">https://www.cfr.org/articles/do-gasoline-based-cars-really-use-more-electricity-electric-vehicles-do</t>
  </si>
  <si>
    <t xml:space="preserve">Distribution terminal, concrete-adjacent products</t>
  </si>
  <si>
    <t xml:space="preserve">Just distribution</t>
  </si>
  <si>
    <t xml:space="preserve">https://clearchem.berkeleyanalytical.com/clearchem-declared/nox-crete-inc</t>
  </si>
  <si>
    <t xml:space="preserve">Chemical – small, custom, pharmaceutical</t>
  </si>
  <si>
    <t xml:space="preserve">https://www.energy-xprt.com/services/oxbow-calcining-services-378614</t>
  </si>
  <si>
    <t xml:space="preserve"> 700,000 short tons per year of anode and industrial grade calcined petroleum coke </t>
  </si>
  <si>
    <t xml:space="preserve">Assumed vertical roller coke mill (22kWh/ metric ton)</t>
  </si>
  <si>
    <t xml:space="preserve">https://oregrindermill.com/blogs/energy-consumption-comparison-how-much-power-do-different-types-of-grinding-mills-use/</t>
  </si>
  <si>
    <t xml:space="preserve">PPE/cleanroom sanitary equipment, electrochemical activation cells</t>
  </si>
  <si>
    <t xml:space="preserve">56GJ/ton total but 66% of that is material feedstock energy
So assuming the rest it will be 5.1348MWh/ton</t>
  </si>
  <si>
    <t xml:space="preserve">https://www.google.com/url?sa=i&amp;source=web&amp;rct=j&amp;url=https://www.americanchemistry.com/content/download/11831/file/Cradle-to-Gate-Life-Cycle-Analysis-of-Methylene-Diphenyl-Diisocyanate-Resin-Precursor.pdf&amp;ved=2ahUKEwjX866s94eVAxWh1fACHTC2AQwQ0YISegYIAAgUEAI&amp;opi=89978449&amp;cd&amp;psig=AOvVaw2fnV_3XBXytH4aTO9znOaF&amp;ust=1781567792120000</t>
  </si>
  <si>
    <t xml:space="preserve">Chemical – specialized (HFO propellants for asthma and other respiratory inhalers)</t>
  </si>
  <si>
    <t xml:space="preserve">https://cen.acs.org/business/finance/Solstice-new-chemical-company-rises/103/web/2025/11, https://www.theadvocate.com/baton_rouge/news/business/honeywell-considering-investing-40m-in-baton-rouge-plant-to-expand-refrigerant-capacity/article_1dccc3c8-f67f-11e9-8af5-873d97bc67d1.html</t>
  </si>
  <si>
    <t xml:space="preserve">Pounds refrigerant (Solstice 1234ze,  Trans-1,3,3,3-tetrafluoroprop-1-ene)</t>
  </si>
  <si>
    <t xml:space="preserve">2.1kg CO2 per kg for electricity, gas-fired boiler 85% efficiency, 0.05306 metric ton CO2/MMBtu natural gas
4695kWh/ton CO2
So 9.859MWh/ton refrigerant</t>
  </si>
  <si>
    <t xml:space="preserve">https://theicct.org/sites/default/files/publications/ICCT_RefrigerantsImpacts_20130909.pdf</t>
  </si>
  <si>
    <t xml:space="preserve">Chemical, small (aluminum chloride
solutions and sodium aluminate solutions)</t>
  </si>
  <si>
    <t xml:space="preserve">https://southernionics.com/wp-content/uploads/2023/10/Southern-Ionics_ISO_9001_Multi-Site_Certificate.pdf</t>
  </si>
  <si>
    <t xml:space="preserve">https://www.stuppcorp.com/
https://www.stuppcorp.com/assets/img/images/media/Pipeline_Gas_Journal_Article_%20June%202013.pdf</t>
  </si>
  <si>
    <t xml:space="preserve">tons of pipes (steel, spirally welded)/year</t>
  </si>
  <si>
    <t xml:space="preserve">818MJ/ton total energy, not given how much of that is electricity so assume all (0.227MWh/ton)</t>
  </si>
  <si>
    <t xml:space="preserve">https://www.google.com/url?sa=i&amp;source=web&amp;rct=j&amp;url=https://cenia.gov.cz/wp-content/uploads/2022/04/EPD_Liberty_Roury_Svarovane_EN.pdf&amp;ved=2ahUKEwj32PLUkY2VAxVcjYkEHZ0bF_kQy_kOegYIAAgEEAE&amp;opi=89978449&amp;cd&amp;psig=AOvVaw2Mas7R6dY7FSMLgsqIPL5l&amp;ust=1781746655117000</t>
  </si>
  <si>
    <t xml:space="preserve">Chemical – synthetic vanilin hydroquinone</t>
  </si>
  <si>
    <t xml:space="preserve">https://www.syensqo.com/en/press-release/syensqo-reopen-synthetic-vanillin-production-unit-saint-fons-france, https://www.google.com/url?sa=i&amp;source=web&amp;rct=j&amp;url=https://bsmedia.business-standard.com/_media/bs/data/market-reports/equity-brokertips/2026-01/17677753420.17050000.pdf&amp;ved=2ahUKEwisq8iIk_6UAxU8LtAFHa2BITgQy_kOegoIAggACAAIBhAB&amp;opi=89978449&amp;cd&amp;psig=AOvVaw1EsBFBrweeFgtl33QrLBGT&amp;ust=1781231635756000</t>
  </si>
  <si>
    <t xml:space="preserve">tons vanilin/year</t>
  </si>
  <si>
    <r>
      <rPr>
        <sz val="11"/>
        <color theme="1"/>
        <rFont val="Calibri"/>
        <family val="2"/>
        <charset val="1"/>
      </rPr>
      <t xml:space="preserve">Process described in the source uses 5,919,379kWh/year to produce </t>
    </r>
    <r>
      <rPr>
        <sz val="10"/>
        <color theme="1"/>
        <rFont val="Arial"/>
        <family val="2"/>
        <charset val="1"/>
      </rPr>
      <t xml:space="preserve">2170 MT/year of vanillin.
So 2.73kWh/kT of vanillin (the process described does say it is extremely efficient though)</t>
    </r>
  </si>
  <si>
    <t xml:space="preserve">https://www.researchgate.net/publication/348339898_Vanillin_Production_from_Lignin_-_Process_Modeling_and_Techno-Economic_Assessment_TEA_using_SuperPro_Designer</t>
  </si>
  <si>
    <t xml:space="preserve">https://www.theadvocate.com/baton_rouge/news/baton-rouges-fees-go-up-every-year-to-fix-sewers-after-20-years-1-6/article_835ea306-7fbb-11ec-a718-af5621731c42.html</t>
  </si>
  <si>
    <t xml:space="preserve">120000000</t>
  </si>
  <si>
    <t xml:space="preserve">Same assumptions as South plant</t>
  </si>
  <si>
    <t xml:space="preserve">https://www.basf.com/us/en/who-we-are/organization/locations/find-out-about-basf-in---/Louisiana/about-louisiana https://www.basf.com/us/en/media/news-releases/2023/01/basf-breaks-ground-on-mdi-capacity-expansion-project-at-geismar-</t>
  </si>
  <si>
    <t xml:space="preserve">tons MDI per year</t>
  </si>
  <si>
    <t xml:space="preserve">Same assumption as Rubicon</t>
  </si>
  <si>
    <t xml:space="preserve">https://oilandgaswatch.org/facility/rec_culum0i32d0ktpi4gdh0</t>
  </si>
  <si>
    <t xml:space="preserve">CO2 equivalent emissions/year</t>
  </si>
  <si>
    <t xml:space="preserve">The compression turbines are powered by natural gas, so probably negligible</t>
  </si>
  <si>
    <t xml:space="preserve">https://www.theadvocate.com/baton_rouge/news/coronavirus/running-low-on-toilet-paper-georgia-pacific-plant-near-zachary-maxing-out-at-120-capacity/article_ad2f9b1c-6ddf-11ea-8c2e-273baea65d45.html</t>
  </si>
  <si>
    <t xml:space="preserve">rolls of toilet paper per hour</t>
  </si>
  <si>
    <t xml:space="preserve">1.3kWh/roll</t>
  </si>
  <si>
    <t xml:space="preserve">https://bidetmate.com/blog/toilet-paper-statistics-that-will-blow-your-mind/?srsltid=AfmBOorE7h01RZ7D9o87iXU0LFEkwVAhUptrbHxEKXCtKUfXDlrGOoio</t>
  </si>
  <si>
    <t xml:space="preserve">Shut down because of bankrupcy</t>
  </si>
  <si>
    <t xml:space="preserve">https://www.theadvocate.com/baton_rouge/news/business/galvanizing-plant-in-zachary-shuts-down-files-for-bankruptcy-protection/article_398afdee-2bbc-11e8-a3ff-7bca09860d89.html</t>
  </si>
  <si>
    <t xml:space="preserve">from average</t>
  </si>
  <si>
    <t xml:space="preserve">Average without zero/unknown values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</si>
</sst>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sz val="10"/>
      <color theme="1"/>
      <name val="Times New Roman"/>
      <family val="1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left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0" xfId="20"/>
  </cellStyle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rnewswire.com/news-releases/albemarle-expands-production-capabilities-for-finished-polyolefin-catalysts-at-its-baton-rouge-facility-138036378.html" TargetMode="External"/><Relationship Id="rId2" Type="http://schemas.openxmlformats.org/officeDocument/2006/relationships/hyperlink" Target="https://www.autochlor.com/" TargetMode="External"/><Relationship Id="rId3" Type="http://schemas.openxmlformats.org/officeDocument/2006/relationships/hyperlink" Target="https://trecora.com/locations/baton-rouge/" TargetMode="External"/><Relationship Id="rId4" Type="http://schemas.openxmlformats.org/officeDocument/2006/relationships/hyperlink" Target="https://www.dolese.com/" TargetMode="External"/><Relationship Id="rId5" Type="http://schemas.openxmlformats.org/officeDocument/2006/relationships/hyperlink" Target="https://www.exxonmobilchemical.com/en" TargetMode="External"/><Relationship Id="rId6" Type="http://schemas.openxmlformats.org/officeDocument/2006/relationships/hyperlink" Target="https://www.exxonmobilchemical.com/en" TargetMode="External"/><Relationship Id="rId7" Type="http://schemas.openxmlformats.org/officeDocument/2006/relationships/hyperlink" Target="https://lmkchemical.com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iea.org/data-and-statistics/charts/comparison-of-the-emissions-intensity-of-different-hydrogen-production-routes-2021" TargetMode="External"/><Relationship Id="rId2" Type="http://schemas.openxmlformats.org/officeDocument/2006/relationships/hyperlink" Target="https://www.prnewswire.com/news-releases/albemarle-expands-production-capabilities-for-finished-polyolefin-catalysts-at-its-baton-rouge-facility-138036378.html" TargetMode="External"/><Relationship Id="rId3" Type="http://schemas.openxmlformats.org/officeDocument/2006/relationships/hyperlink" Target="https://www.albemarle.com/cl/en/sustainability/sustainability-reporting-resources/sustainability-performance-data" TargetMode="External"/><Relationship Id="rId4" Type="http://schemas.openxmlformats.org/officeDocument/2006/relationships/hyperlink" Target="https://www.wafb.com/story/4923309/a-history-of-coca-cola-in-baton-rouge-1971/" TargetMode="External"/><Relationship Id="rId5" Type="http://schemas.openxmlformats.org/officeDocument/2006/relationships/hyperlink" Target="https://lsureveille.com/150236/news/rum-distillery-plans-to-make-use-of-louisiana-sugar-cane/" TargetMode="External"/><Relationship Id="rId6" Type="http://schemas.openxmlformats.org/officeDocument/2006/relationships/hyperlink" Target="https://trecora.com/locations/baton-rouge/" TargetMode="External"/><Relationship Id="rId7" Type="http://schemas.openxmlformats.org/officeDocument/2006/relationships/hyperlink" Target="https://www.dolese.com/" TargetMode="External"/><Relationship Id="rId8" Type="http://schemas.openxmlformats.org/officeDocument/2006/relationships/hyperlink" Target="https://www.google.com/url?sa=t&amp;source=web&amp;rct=j&amp;opi=89978449&amp;url=https://mcilvainecompany.com/Decision_Tree/subscriber/Tree/DescriptionTextLinks/BabWilcox/SulfurOutotecBrochure.pdf&amp;ved=2ahUKEwi147yHov6UAxV-hIkEHccqHQ8QFnoECBoQAQ&amp;usg=AOvVaw0Fh4n8YTw1b1-V87oX1ocw" TargetMode="External"/><Relationship Id="rId9" Type="http://schemas.openxmlformats.org/officeDocument/2006/relationships/hyperlink" Target="https://www.google.com/url?sa=t&amp;source=web&amp;rct=j&amp;url=http%3A%2F%2Fwww.polydynamics.com%2FGREENHOUSE_GASES_INTERNET_VERSION_WORLD_BANK.pdf&amp;ved=0CAUQ1fkOahcKEwjg_PT8sP-UAxUAAAAAHQAAAAAQAw&amp;opi=89978449" TargetMode="External"/><Relationship Id="rId10" Type="http://schemas.openxmlformats.org/officeDocument/2006/relationships/hyperlink" Target="https://www.google.com/url?sa=t&amp;source=web&amp;rct=j&amp;url=https%3A%2F%2Fpsecommunity.org%2Fwp-content%2Fplugins%2Fwpor%2Fincludes%2Ffile%2F2506%2FLAPSE-2025.0227-1v1.pdf&amp;ved=0CAEQ1fkOahcKEwjop4Hzt4WVAxUAAAAAHQAAAAAQBQ&amp;opi=89978449" TargetMode="External"/><Relationship Id="rId11" Type="http://schemas.openxmlformats.org/officeDocument/2006/relationships/hyperlink" Target="https://www.google.com/url?sa=t&amp;source=web&amp;rct=j&amp;url=https%3A%2F%2Fcorporate.exxonmobil.com%2F-%2Fmedia%2Fglobal%2Ffiles%2Flocations%2Funited-states-operations%2Fbaton-rouge%2F2022-brrf-fact-sheet.pdf&amp;ved=0CAYQ1fkOahcKEwiwgpKhi_yVAxUAAAAAHQAAAAAQBA&amp;opi=89978449" TargetMode="External"/><Relationship Id="rId12" Type="http://schemas.openxmlformats.org/officeDocument/2006/relationships/hyperlink" Target="https://corporate.exxonmobil.com/news/news-releases/2022/1206_exxonmobil-doubles-polypropylene-production-at-baton-rouge" TargetMode="External"/><Relationship Id="rId13" Type="http://schemas.openxmlformats.org/officeDocument/2006/relationships/hyperlink" Target="https://www.sciencedirect.com/science/article/pii/S2542435120306267" TargetMode="External"/><Relationship Id="rId14" Type="http://schemas.openxmlformats.org/officeDocument/2006/relationships/hyperlink" Target="https://www.opportunitylouisiana.gov/news/gov-edwards-and-formosa-plastics-announce-332-million-expansion" TargetMode="External"/><Relationship Id="rId15" Type="http://schemas.openxmlformats.org/officeDocument/2006/relationships/hyperlink" Target="https://cementdistribution.com/wp-content/uploads/2016/10/us_import_overview.pdf" TargetMode="External"/><Relationship Id="rId16" Type="http://schemas.openxmlformats.org/officeDocument/2006/relationships/hyperlink" Target="https://lmkchemical.com/" TargetMode="External"/><Relationship Id="rId17" Type="http://schemas.openxmlformats.org/officeDocument/2006/relationships/hyperlink" Target="https://downloads.regulations.gov/EPA-HQ-OAR-2011-0542-0010/content.pdf" TargetMode="External"/><Relationship Id="rId18" Type="http://schemas.openxmlformats.org/officeDocument/2006/relationships/hyperlink" Target="https://www.cfr.org/articles/do-gasoline-based-cars-really-use-more-electricity-electric-vehicles-do" TargetMode="External"/><Relationship Id="rId19" Type="http://schemas.openxmlformats.org/officeDocument/2006/relationships/hyperlink" Target="https://www.energy-xprt.com/services/oxbow-calcining-services-378614" TargetMode="External"/><Relationship Id="rId20" Type="http://schemas.openxmlformats.org/officeDocument/2006/relationships/hyperlink" Target="https://oregrindermill.com/blogs/energy-consumption-comparison-how-much-power-do-different-types-of-grinding-mills-use/" TargetMode="External"/><Relationship Id="rId21" Type="http://schemas.openxmlformats.org/officeDocument/2006/relationships/hyperlink" Target="https://www.google.com/url?sa=i&amp;source=web&amp;rct=j&amp;url=https://www.americanchemistry.com/content/download/11831/file/Cradle-to-Gate-Life-Cycle-Analysis-of-Methylene-Diphenyl-Diisocyanate-Resin-Precursor.pdf&amp;ved=2ahUKEwjX866s94eVAxWh1fACHTC2AQwQ0YISegYIAAgUEAI&amp;opi=89978449&amp;cd&amp;psig=AOvVaw2fnV_3XBXytH4aTO9znOaF&amp;ust=1781567792120000" TargetMode="External"/><Relationship Id="rId22" Type="http://schemas.openxmlformats.org/officeDocument/2006/relationships/hyperlink" Target="https://theicct.org/sites/default/files/publications/ICCT_RefrigerantsImpacts_20130909.pdf" TargetMode="External"/><Relationship Id="rId23" Type="http://schemas.openxmlformats.org/officeDocument/2006/relationships/hyperlink" Target="https://southernionics.com/wp-content/uploads/2023/10/Southern-Ionics_ISO_9001_Multi-Site_Certificate.pdf" TargetMode="External"/><Relationship Id="rId24" Type="http://schemas.openxmlformats.org/officeDocument/2006/relationships/hyperlink" Target="https://www.google.com/url?sa=i&amp;source=web&amp;rct=j&amp;url=https://cenia.gov.cz/wp-content/uploads/2022/04/EPD_Liberty_Roury_Svarovane_EN.pdf&amp;ved=2ahUKEwj32PLUkY2VAxVcjYkEHZ0bF_kQy_kOegYIAAgEEAE&amp;opi=89978449&amp;cd&amp;psig=AOvVaw2Mas7R6dY7FSMLgsqIPL5l&amp;ust=1781746655117000" TargetMode="External"/><Relationship Id="rId25" Type="http://schemas.openxmlformats.org/officeDocument/2006/relationships/hyperlink" Target="https://www.researchgate.net/publication/348339898_Vanillin_Production_from_Lignin_-_Process_Modeling_and_Techno-Economic_Assessment_TEA_using_SuperPro_Designer" TargetMode="External"/><Relationship Id="rId26" Type="http://schemas.openxmlformats.org/officeDocument/2006/relationships/hyperlink" Target="https://www.theadvocate.com/baton_rouge/news/baton-rouges-fees-go-up-every-year-to-fix-sewers-after-20-years-1-6/article_835ea306-7fbb-11ec-a718-af5621731c42.html" TargetMode="External"/><Relationship Id="rId27" Type="http://schemas.openxmlformats.org/officeDocument/2006/relationships/hyperlink" Target="https://oilandgaswatch.org/facility/rec_culum0i32d0ktpi4gdh0" TargetMode="External"/><Relationship Id="rId28" Type="http://schemas.openxmlformats.org/officeDocument/2006/relationships/hyperlink" Target="https://www.theadvocate.com/baton_rouge/news/coronavirus/running-low-on-toilet-paper-georgia-pacific-plant-near-zachary-maxing-out-at-120-capacity/article_ad2f9b1c-6ddf-11ea-8c2e-273baea65d45.html" TargetMode="External"/><Relationship Id="rId29" Type="http://schemas.openxmlformats.org/officeDocument/2006/relationships/hyperlink" Target="https://www.theadvocate.com/baton_rouge/news/business/galvanizing-plant-in-zachary-shuts-down-files-for-bankruptcy-protection/article_398afdee-2bbc-11e8-a3ff-7bca09860d89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32"/>
  <sheetViews>
    <sheetView showFormulas="false" showGridLines="true" showRowColHeaders="true" showZeros="true" rightToLeft="false" tabSelected="false" showOutlineSymbols="true" defaultGridColor="true" view="normal" topLeftCell="A187" colorId="64" zoomScale="75" zoomScaleNormal="75" zoomScalePageLayoutView="100" workbookViewId="0">
      <selection pane="topLeft" activeCell="F213" activeCellId="0" sqref="F213"/>
    </sheetView>
  </sheetViews>
  <sheetFormatPr defaultColWidth="8.453125" defaultRowHeight="15" customHeight="false" zeroHeight="false" outlineLevelRow="0" outlineLevelCol="0"/>
  <cols>
    <col collapsed="false" customWidth="false" hidden="true" outlineLevel="0" max="4" min="1" style="1" width="8.45"/>
    <col collapsed="false" customWidth="true" hidden="false" outlineLevel="0" max="5" min="5" style="1" width="50.31"/>
    <col collapsed="false" customWidth="true" hidden="false" outlineLevel="0" max="6" min="6" style="1" width="90.36"/>
    <col collapsed="false" customWidth="true" hidden="false" outlineLevel="0" max="7" min="7" style="1" width="6.37"/>
    <col collapsed="false" customWidth="true" hidden="false" outlineLevel="0" max="8" min="8" style="1" width="13.5"/>
    <col collapsed="false" customWidth="true" hidden="false" outlineLevel="0" max="9" min="9" style="1" width="18.1"/>
    <col collapsed="false" customWidth="true" hidden="true" outlineLevel="0" max="10" min="10" style="1" width="11.53"/>
    <col collapsed="false" customWidth="true" hidden="true" outlineLevel="0" max="11" min="11" style="1" width="9.94"/>
    <col collapsed="false" customWidth="true" hidden="false" outlineLevel="0" max="12" min="12" style="1" width="37.8"/>
    <col collapsed="false" customWidth="true" hidden="true" outlineLevel="0" max="13" min="13" style="1" width="37.8"/>
    <col collapsed="false" customWidth="true" hidden="false" outlineLevel="0" max="14" min="14" style="1" width="9.94"/>
    <col collapsed="false" customWidth="true" hidden="false" outlineLevel="0" max="16384" min="16376" style="1" width="11.53"/>
  </cols>
  <sheetData>
    <row r="1" s="4" customFormat="true" ht="58.3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11</v>
      </c>
      <c r="N1" s="2" t="s">
        <v>12</v>
      </c>
      <c r="O1" s="2" t="s">
        <v>13</v>
      </c>
      <c r="P1" s="2" t="s">
        <v>14</v>
      </c>
      <c r="AL1" s="1"/>
      <c r="AM1" s="1"/>
    </row>
    <row r="2" customFormat="false" ht="15" hidden="false" customHeight="false" outlineLevel="0" collapsed="false">
      <c r="A2" s="1" t="n">
        <v>1</v>
      </c>
      <c r="B2" s="1" t="n">
        <v>1</v>
      </c>
      <c r="C2" s="1" t="n">
        <v>2088</v>
      </c>
      <c r="D2" s="1" t="n">
        <v>1</v>
      </c>
      <c r="E2" s="1" t="s">
        <v>15</v>
      </c>
      <c r="F2" s="1" t="s">
        <v>16</v>
      </c>
      <c r="H2" s="1" t="n">
        <v>0</v>
      </c>
      <c r="I2" s="1" t="s">
        <v>16</v>
      </c>
      <c r="L2" s="1" t="s">
        <v>17</v>
      </c>
      <c r="M2" s="1" t="str">
        <f aca="false">_xlfn.TEXTJOIN( ,0,O2,", ",N2, )</f>
        <v>30.5890598297119, -91.1673278808594</v>
      </c>
      <c r="N2" s="1" t="n">
        <v>-91.1673278808594</v>
      </c>
      <c r="O2" s="1" t="n">
        <v>30.5890598297119</v>
      </c>
      <c r="P2" s="1" t="s">
        <v>18</v>
      </c>
    </row>
    <row r="3" customFormat="false" ht="15" hidden="false" customHeight="false" outlineLevel="0" collapsed="false">
      <c r="A3" s="1" t="n">
        <v>2</v>
      </c>
      <c r="B3" s="1" t="n">
        <v>1</v>
      </c>
      <c r="C3" s="1" t="n">
        <v>2123</v>
      </c>
      <c r="D3" s="1" t="n">
        <v>1</v>
      </c>
      <c r="E3" s="1" t="s">
        <v>19</v>
      </c>
      <c r="F3" s="1" t="s">
        <v>16</v>
      </c>
      <c r="H3" s="1" t="n">
        <v>0</v>
      </c>
      <c r="I3" s="1" t="s">
        <v>16</v>
      </c>
      <c r="L3" s="1" t="s">
        <v>20</v>
      </c>
      <c r="M3" s="1" t="str">
        <f aca="false">_xlfn.TEXTJOIN( ,0,O3,", ",N3, )</f>
        <v>30.4290409088135, -91.1783905029297</v>
      </c>
      <c r="N3" s="1" t="n">
        <v>-91.1783905029297</v>
      </c>
      <c r="O3" s="1" t="n">
        <v>30.4290409088135</v>
      </c>
      <c r="P3" s="1" t="s">
        <v>21</v>
      </c>
    </row>
    <row r="4" customFormat="false" ht="15" hidden="false" customHeight="false" outlineLevel="0" collapsed="false">
      <c r="A4" s="1" t="n">
        <v>3</v>
      </c>
      <c r="B4" s="1" t="n">
        <v>1</v>
      </c>
      <c r="C4" s="1" t="n">
        <v>2124</v>
      </c>
      <c r="D4" s="1" t="n">
        <v>1</v>
      </c>
      <c r="E4" s="1" t="s">
        <v>22</v>
      </c>
      <c r="F4" s="1" t="s">
        <v>16</v>
      </c>
      <c r="H4" s="1" t="n">
        <v>0</v>
      </c>
      <c r="I4" s="1" t="s">
        <v>16</v>
      </c>
      <c r="L4" s="1" t="s">
        <v>23</v>
      </c>
      <c r="M4" s="1" t="str">
        <f aca="false">_xlfn.TEXTJOIN( ,0,O4,", ",N4, )</f>
        <v>30.4433307647705, -91.1874771118164</v>
      </c>
      <c r="N4" s="1" t="n">
        <v>-91.1874771118164</v>
      </c>
      <c r="O4" s="1" t="n">
        <v>30.4433307647705</v>
      </c>
      <c r="P4" s="1" t="s">
        <v>24</v>
      </c>
    </row>
    <row r="5" customFormat="false" ht="15" hidden="false" customHeight="false" outlineLevel="0" collapsed="false">
      <c r="A5" s="1" t="n">
        <v>4</v>
      </c>
      <c r="B5" s="1" t="n">
        <v>1</v>
      </c>
      <c r="C5" s="1" t="n">
        <v>2125</v>
      </c>
      <c r="D5" s="1" t="n">
        <v>1</v>
      </c>
      <c r="E5" s="1" t="s">
        <v>25</v>
      </c>
      <c r="F5" s="1" t="s">
        <v>16</v>
      </c>
      <c r="H5" s="1" t="n">
        <v>0</v>
      </c>
      <c r="I5" s="1" t="s">
        <v>16</v>
      </c>
      <c r="L5" s="1" t="s">
        <v>23</v>
      </c>
      <c r="M5" s="1" t="str">
        <f aca="false">_xlfn.TEXTJOIN( ,0,O5,", ",N5, )</f>
        <v>30.4433307647705, -91.1874771118164</v>
      </c>
      <c r="N5" s="1" t="n">
        <v>-91.1874771118164</v>
      </c>
      <c r="O5" s="1" t="n">
        <v>30.4433307647705</v>
      </c>
      <c r="P5" s="1" t="s">
        <v>24</v>
      </c>
    </row>
    <row r="6" customFormat="false" ht="15" hidden="false" customHeight="false" outlineLevel="0" collapsed="false">
      <c r="A6" s="1" t="n">
        <v>5</v>
      </c>
      <c r="B6" s="1" t="n">
        <v>1</v>
      </c>
      <c r="C6" s="1" t="n">
        <v>2126</v>
      </c>
      <c r="D6" s="1" t="n">
        <v>1</v>
      </c>
      <c r="E6" s="1" t="s">
        <v>26</v>
      </c>
      <c r="F6" s="1" t="s">
        <v>16</v>
      </c>
      <c r="H6" s="1" t="n">
        <v>0</v>
      </c>
      <c r="I6" s="1" t="s">
        <v>16</v>
      </c>
      <c r="L6" s="1" t="s">
        <v>27</v>
      </c>
      <c r="M6" s="1" t="str">
        <f aca="false">_xlfn.TEXTJOIN( ,0,O6,", ",N6, )</f>
        <v>30.431999206543, -91.1832122802734</v>
      </c>
      <c r="N6" s="1" t="n">
        <v>-91.1832122802734</v>
      </c>
      <c r="O6" s="1" t="n">
        <v>30.431999206543</v>
      </c>
      <c r="P6" s="1" t="s">
        <v>24</v>
      </c>
    </row>
    <row r="7" customFormat="false" ht="15" hidden="false" customHeight="false" outlineLevel="0" collapsed="false">
      <c r="A7" s="1" t="n">
        <v>6</v>
      </c>
      <c r="B7" s="1" t="n">
        <v>1</v>
      </c>
      <c r="C7" s="1" t="n">
        <v>2127</v>
      </c>
      <c r="D7" s="1" t="n">
        <v>1</v>
      </c>
      <c r="E7" s="1" t="s">
        <v>28</v>
      </c>
      <c r="F7" s="1" t="s">
        <v>16</v>
      </c>
      <c r="H7" s="1" t="n">
        <v>0</v>
      </c>
      <c r="I7" s="1" t="s">
        <v>16</v>
      </c>
      <c r="L7" s="1" t="s">
        <v>29</v>
      </c>
      <c r="M7" s="1" t="str">
        <f aca="false">_xlfn.TEXTJOIN( ,0,O7,", ",N7, )</f>
        <v>30.4658908843994, -91.183349609375</v>
      </c>
      <c r="N7" s="1" t="n">
        <v>-91.183349609375</v>
      </c>
      <c r="O7" s="1" t="n">
        <v>30.4658908843994</v>
      </c>
      <c r="P7" s="1" t="s">
        <v>24</v>
      </c>
    </row>
    <row r="8" customFormat="false" ht="15" hidden="false" customHeight="false" outlineLevel="0" collapsed="false">
      <c r="A8" s="1" t="n">
        <v>7</v>
      </c>
      <c r="B8" s="1" t="n">
        <v>1</v>
      </c>
      <c r="C8" s="1" t="n">
        <v>2128</v>
      </c>
      <c r="D8" s="1" t="n">
        <v>1</v>
      </c>
      <c r="E8" s="1" t="s">
        <v>30</v>
      </c>
      <c r="F8" s="1" t="s">
        <v>16</v>
      </c>
      <c r="H8" s="1" t="n">
        <v>0</v>
      </c>
      <c r="I8" s="1" t="s">
        <v>16</v>
      </c>
      <c r="L8" s="1" t="s">
        <v>23</v>
      </c>
      <c r="M8" s="1" t="str">
        <f aca="false">_xlfn.TEXTJOIN( ,0,O8,", ",N8, )</f>
        <v>30.4433307647705, -91.1874771118164</v>
      </c>
      <c r="N8" s="1" t="n">
        <v>-91.1874771118164</v>
      </c>
      <c r="O8" s="1" t="n">
        <v>30.4433307647705</v>
      </c>
      <c r="P8" s="1" t="s">
        <v>24</v>
      </c>
    </row>
    <row r="9" customFormat="false" ht="15" hidden="false" customHeight="false" outlineLevel="0" collapsed="false">
      <c r="A9" s="1" t="n">
        <v>8</v>
      </c>
      <c r="B9" s="1" t="n">
        <v>1</v>
      </c>
      <c r="C9" s="1" t="n">
        <v>2129</v>
      </c>
      <c r="D9" s="1" t="n">
        <v>1</v>
      </c>
      <c r="E9" s="1" t="s">
        <v>31</v>
      </c>
      <c r="F9" s="1" t="s">
        <v>16</v>
      </c>
      <c r="H9" s="1" t="n">
        <v>0</v>
      </c>
      <c r="I9" s="1" t="s">
        <v>16</v>
      </c>
      <c r="L9" s="1" t="s">
        <v>23</v>
      </c>
      <c r="M9" s="1" t="str">
        <f aca="false">_xlfn.TEXTJOIN( ,0,O9,", ",N9, )</f>
        <v>30.4433307647705, -91.1874771118164</v>
      </c>
      <c r="N9" s="1" t="n">
        <v>-91.1874771118164</v>
      </c>
      <c r="O9" s="1" t="n">
        <v>30.4433307647705</v>
      </c>
      <c r="P9" s="1" t="s">
        <v>24</v>
      </c>
    </row>
    <row r="10" customFormat="false" ht="15" hidden="false" customHeight="false" outlineLevel="0" collapsed="false">
      <c r="A10" s="1" t="n">
        <v>9</v>
      </c>
      <c r="B10" s="1" t="n">
        <v>1</v>
      </c>
      <c r="C10" s="1" t="n">
        <v>2130</v>
      </c>
      <c r="D10" s="1" t="n">
        <v>1</v>
      </c>
      <c r="E10" s="1" t="s">
        <v>32</v>
      </c>
      <c r="F10" s="1" t="s">
        <v>16</v>
      </c>
      <c r="H10" s="1" t="n">
        <v>0</v>
      </c>
      <c r="I10" s="1" t="s">
        <v>16</v>
      </c>
      <c r="L10" s="1" t="s">
        <v>33</v>
      </c>
      <c r="M10" s="1" t="str">
        <f aca="false">_xlfn.TEXTJOIN( ,0,O10,", ",N10, )</f>
        <v>30.5137901306152, -91.1806182861328</v>
      </c>
      <c r="N10" s="1" t="n">
        <v>-91.1806182861328</v>
      </c>
      <c r="O10" s="1" t="n">
        <v>30.5137901306152</v>
      </c>
      <c r="P10" s="1" t="s">
        <v>24</v>
      </c>
    </row>
    <row r="11" customFormat="false" ht="15" hidden="false" customHeight="false" outlineLevel="0" collapsed="false">
      <c r="A11" s="1" t="n">
        <v>10</v>
      </c>
      <c r="B11" s="1" t="n">
        <v>1</v>
      </c>
      <c r="C11" s="1" t="n">
        <v>2131</v>
      </c>
      <c r="D11" s="1" t="n">
        <v>1</v>
      </c>
      <c r="E11" s="1" t="s">
        <v>34</v>
      </c>
      <c r="F11" s="1" t="s">
        <v>35</v>
      </c>
      <c r="G11" s="5" t="s">
        <v>36</v>
      </c>
      <c r="H11" s="1" t="s">
        <v>37</v>
      </c>
      <c r="I11" s="1" t="s">
        <v>38</v>
      </c>
      <c r="L11" s="1" t="s">
        <v>39</v>
      </c>
      <c r="M11" s="1" t="str">
        <f aca="false">_xlfn.TEXTJOIN( ,0,O11,", ",N11, )</f>
        <v>30.4935359954834, -91.1872253417969</v>
      </c>
      <c r="N11" s="1" t="n">
        <v>-91.1872253417969</v>
      </c>
      <c r="O11" s="1" t="n">
        <v>30.4935359954834</v>
      </c>
      <c r="P11" s="1" t="s">
        <v>24</v>
      </c>
    </row>
    <row r="12" customFormat="false" ht="15" hidden="false" customHeight="false" outlineLevel="0" collapsed="false">
      <c r="A12" s="1" t="n">
        <v>11</v>
      </c>
      <c r="B12" s="1" t="n">
        <v>1</v>
      </c>
      <c r="C12" s="1" t="n">
        <v>2132</v>
      </c>
      <c r="D12" s="1" t="n">
        <v>1</v>
      </c>
      <c r="E12" s="1" t="s">
        <v>40</v>
      </c>
      <c r="F12" s="1" t="s">
        <v>41</v>
      </c>
      <c r="G12" s="5" t="s">
        <v>42</v>
      </c>
      <c r="H12" s="1" t="s">
        <v>37</v>
      </c>
      <c r="L12" s="1" t="s">
        <v>43</v>
      </c>
      <c r="M12" s="1" t="str">
        <f aca="false">_xlfn.TEXTJOIN( ,0,O12,", ",N12, )</f>
        <v>30.4937496185303, -91.1787414550781</v>
      </c>
      <c r="N12" s="1" t="n">
        <v>-91.1787414550781</v>
      </c>
      <c r="O12" s="1" t="n">
        <v>30.4937496185303</v>
      </c>
      <c r="P12" s="1" t="s">
        <v>24</v>
      </c>
    </row>
    <row r="13" customFormat="false" ht="15" hidden="false" customHeight="false" outlineLevel="0" collapsed="false">
      <c r="A13" s="1" t="n">
        <v>12</v>
      </c>
      <c r="B13" s="1" t="n">
        <v>1</v>
      </c>
      <c r="C13" s="1" t="n">
        <v>2133</v>
      </c>
      <c r="D13" s="1" t="n">
        <v>1</v>
      </c>
      <c r="E13" s="1" t="s">
        <v>40</v>
      </c>
      <c r="F13" s="1" t="s">
        <v>16</v>
      </c>
      <c r="H13" s="1" t="n">
        <v>0</v>
      </c>
      <c r="I13" s="1" t="s">
        <v>16</v>
      </c>
      <c r="L13" s="1" t="s">
        <v>44</v>
      </c>
      <c r="M13" s="1" t="str">
        <f aca="false">_xlfn.TEXTJOIN( ,0,O13,", ",N13, )</f>
        <v>30.4893302917481, -91.1509704589844</v>
      </c>
      <c r="N13" s="1" t="n">
        <v>-91.1509704589844</v>
      </c>
      <c r="O13" s="1" t="n">
        <v>30.4893302917481</v>
      </c>
      <c r="P13" s="1" t="s">
        <v>24</v>
      </c>
    </row>
    <row r="14" customFormat="false" ht="15" hidden="false" customHeight="false" outlineLevel="0" collapsed="false">
      <c r="A14" s="1" t="n">
        <v>13</v>
      </c>
      <c r="B14" s="1" t="n">
        <v>1</v>
      </c>
      <c r="C14" s="1" t="n">
        <v>2134</v>
      </c>
      <c r="D14" s="1" t="n">
        <v>1</v>
      </c>
      <c r="E14" s="1" t="s">
        <v>45</v>
      </c>
      <c r="F14" s="1" t="s">
        <v>16</v>
      </c>
      <c r="H14" s="1" t="n">
        <v>0</v>
      </c>
      <c r="I14" s="1" t="s">
        <v>16</v>
      </c>
      <c r="L14" s="1" t="s">
        <v>46</v>
      </c>
      <c r="M14" s="1" t="str">
        <f aca="false">_xlfn.TEXTJOIN( ,0,O14,", ",N14, )</f>
        <v>30.4731712341309, -91.0670852661133</v>
      </c>
      <c r="N14" s="1" t="n">
        <v>-91.0670852661133</v>
      </c>
      <c r="O14" s="1" t="n">
        <v>30.4731712341309</v>
      </c>
      <c r="P14" s="1" t="s">
        <v>24</v>
      </c>
    </row>
    <row r="15" customFormat="false" ht="15" hidden="false" customHeight="false" outlineLevel="0" collapsed="false">
      <c r="A15" s="1" t="n">
        <v>14</v>
      </c>
      <c r="B15" s="1" t="n">
        <v>1</v>
      </c>
      <c r="C15" s="1" t="n">
        <v>2135</v>
      </c>
      <c r="D15" s="1" t="n">
        <v>1</v>
      </c>
      <c r="E15" s="1" t="s">
        <v>47</v>
      </c>
      <c r="F15" s="1" t="s">
        <v>16</v>
      </c>
      <c r="H15" s="1" t="n">
        <v>0</v>
      </c>
      <c r="I15" s="1" t="s">
        <v>16</v>
      </c>
      <c r="L15" s="1" t="s">
        <v>48</v>
      </c>
      <c r="M15" s="1" t="str">
        <f aca="false">_xlfn.TEXTJOIN( ,0,O15,", ",N15, )</f>
        <v>30.4010105133057, -91.0553588867188</v>
      </c>
      <c r="N15" s="1" t="n">
        <v>-91.0553588867188</v>
      </c>
      <c r="O15" s="1" t="n">
        <v>30.4010105133057</v>
      </c>
      <c r="P15" s="1" t="s">
        <v>24</v>
      </c>
    </row>
    <row r="16" customFormat="false" ht="15" hidden="false" customHeight="false" outlineLevel="0" collapsed="false">
      <c r="A16" s="1" t="n">
        <v>15</v>
      </c>
      <c r="B16" s="1" t="n">
        <v>1</v>
      </c>
      <c r="C16" s="1" t="n">
        <v>2136</v>
      </c>
      <c r="D16" s="1" t="n">
        <v>1</v>
      </c>
      <c r="E16" s="1" t="s">
        <v>49</v>
      </c>
      <c r="F16" s="1" t="s">
        <v>50</v>
      </c>
      <c r="G16" s="1" t="s">
        <v>51</v>
      </c>
      <c r="H16" s="1" t="s">
        <v>37</v>
      </c>
      <c r="L16" s="1" t="s">
        <v>52</v>
      </c>
      <c r="M16" s="1" t="str">
        <f aca="false">_xlfn.TEXTJOIN( ,0,O16,", ",N16, )</f>
        <v>30.4697666168213, -91.0942993164063</v>
      </c>
      <c r="N16" s="1" t="n">
        <v>-91.0942993164063</v>
      </c>
      <c r="O16" s="1" t="n">
        <v>30.4697666168213</v>
      </c>
      <c r="P16" s="1" t="s">
        <v>24</v>
      </c>
    </row>
    <row r="17" customFormat="false" ht="15" hidden="false" customHeight="false" outlineLevel="0" collapsed="false">
      <c r="A17" s="1" t="n">
        <v>16</v>
      </c>
      <c r="B17" s="1" t="n">
        <v>1</v>
      </c>
      <c r="C17" s="1" t="n">
        <v>2137</v>
      </c>
      <c r="D17" s="1" t="n">
        <v>1</v>
      </c>
      <c r="E17" s="1" t="s">
        <v>53</v>
      </c>
      <c r="F17" s="1" t="s">
        <v>54</v>
      </c>
      <c r="H17" s="1" t="n">
        <v>0</v>
      </c>
      <c r="I17" s="1" t="s">
        <v>16</v>
      </c>
      <c r="L17" s="1" t="s">
        <v>52</v>
      </c>
      <c r="M17" s="1" t="str">
        <f aca="false">_xlfn.TEXTJOIN( ,0,O17,", ",N17, )</f>
        <v>30.4697666168213, -91.0942993164063</v>
      </c>
      <c r="N17" s="1" t="n">
        <v>-91.0942993164063</v>
      </c>
      <c r="O17" s="1" t="n">
        <v>30.4697666168213</v>
      </c>
      <c r="P17" s="1" t="s">
        <v>24</v>
      </c>
    </row>
    <row r="18" customFormat="false" ht="15" hidden="false" customHeight="false" outlineLevel="0" collapsed="false">
      <c r="A18" s="1" t="n">
        <v>17</v>
      </c>
      <c r="B18" s="1" t="n">
        <v>1</v>
      </c>
      <c r="C18" s="1" t="n">
        <v>2138</v>
      </c>
      <c r="D18" s="1" t="n">
        <v>1</v>
      </c>
      <c r="E18" s="1" t="s">
        <v>55</v>
      </c>
      <c r="F18" s="1" t="s">
        <v>56</v>
      </c>
      <c r="H18" s="1" t="s">
        <v>37</v>
      </c>
      <c r="L18" s="1" t="s">
        <v>57</v>
      </c>
      <c r="M18" s="1" t="str">
        <f aca="false">_xlfn.TEXTJOIN( ,0,O18,", ",N18, )</f>
        <v>30.5587005615234, -91.2017211914063</v>
      </c>
      <c r="N18" s="1" t="n">
        <v>-91.2017211914063</v>
      </c>
      <c r="O18" s="1" t="n">
        <v>30.5587005615234</v>
      </c>
      <c r="P18" s="1" t="s">
        <v>24</v>
      </c>
    </row>
    <row r="19" customFormat="false" ht="15" hidden="false" customHeight="false" outlineLevel="0" collapsed="false">
      <c r="A19" s="1" t="n">
        <v>18</v>
      </c>
      <c r="B19" s="1" t="n">
        <v>1</v>
      </c>
      <c r="C19" s="1" t="n">
        <v>2139</v>
      </c>
      <c r="D19" s="1" t="n">
        <v>1</v>
      </c>
      <c r="E19" s="1" t="s">
        <v>55</v>
      </c>
      <c r="F19" s="1" t="s">
        <v>54</v>
      </c>
      <c r="H19" s="1" t="n">
        <v>0</v>
      </c>
      <c r="I19" s="1" t="s">
        <v>16</v>
      </c>
      <c r="L19" s="1" t="s">
        <v>57</v>
      </c>
      <c r="M19" s="1" t="str">
        <f aca="false">_xlfn.TEXTJOIN( ,0,O19,", ",N19, )</f>
        <v>30.5587005615234, -91.2017211914063</v>
      </c>
      <c r="N19" s="1" t="n">
        <v>-91.2017211914063</v>
      </c>
      <c r="O19" s="1" t="n">
        <v>30.5587005615234</v>
      </c>
      <c r="P19" s="1" t="s">
        <v>24</v>
      </c>
    </row>
    <row r="20" customFormat="false" ht="15" hidden="false" customHeight="false" outlineLevel="0" collapsed="false">
      <c r="A20" s="1" t="n">
        <v>19</v>
      </c>
      <c r="B20" s="1" t="n">
        <v>1</v>
      </c>
      <c r="C20" s="1" t="n">
        <v>2140</v>
      </c>
      <c r="D20" s="1" t="n">
        <v>1</v>
      </c>
      <c r="E20" s="1" t="s">
        <v>58</v>
      </c>
      <c r="F20" s="1" t="s">
        <v>16</v>
      </c>
      <c r="H20" s="1" t="n">
        <v>0</v>
      </c>
      <c r="I20" s="1" t="s">
        <v>16</v>
      </c>
      <c r="L20" s="1" t="s">
        <v>59</v>
      </c>
      <c r="M20" s="1" t="str">
        <f aca="false">_xlfn.TEXTJOIN( ,0,O20,", ",N20, )</f>
        <v>30.6519165039063, -91.1418609619141</v>
      </c>
      <c r="N20" s="1" t="n">
        <v>-91.1418609619141</v>
      </c>
      <c r="O20" s="1" t="n">
        <v>30.6519165039063</v>
      </c>
      <c r="P20" s="1" t="s">
        <v>24</v>
      </c>
    </row>
    <row r="21" customFormat="false" ht="15" hidden="false" customHeight="false" outlineLevel="0" collapsed="false">
      <c r="A21" s="1" t="n">
        <v>20</v>
      </c>
      <c r="B21" s="1" t="n">
        <v>1</v>
      </c>
      <c r="C21" s="1" t="n">
        <v>2141</v>
      </c>
      <c r="D21" s="1" t="n">
        <v>1</v>
      </c>
      <c r="E21" s="1" t="s">
        <v>60</v>
      </c>
      <c r="F21" s="1" t="s">
        <v>54</v>
      </c>
      <c r="H21" s="1" t="n">
        <v>0</v>
      </c>
      <c r="I21" s="1" t="s">
        <v>16</v>
      </c>
      <c r="L21" s="1" t="s">
        <v>57</v>
      </c>
      <c r="M21" s="1" t="str">
        <f aca="false">_xlfn.TEXTJOIN( ,0,O21,", ",N21, )</f>
        <v>30.5587005615234, -91.2017211914063</v>
      </c>
      <c r="N21" s="1" t="n">
        <v>-91.2017211914063</v>
      </c>
      <c r="O21" s="1" t="n">
        <v>30.5587005615234</v>
      </c>
      <c r="P21" s="1" t="s">
        <v>24</v>
      </c>
    </row>
    <row r="22" customFormat="false" ht="15" hidden="false" customHeight="false" outlineLevel="0" collapsed="false">
      <c r="A22" s="1" t="n">
        <v>21</v>
      </c>
      <c r="B22" s="1" t="n">
        <v>1</v>
      </c>
      <c r="C22" s="1" t="n">
        <v>2142</v>
      </c>
      <c r="D22" s="1" t="n">
        <v>1</v>
      </c>
      <c r="E22" s="1" t="s">
        <v>61</v>
      </c>
      <c r="F22" s="1" t="s">
        <v>62</v>
      </c>
      <c r="H22" s="1" t="s">
        <v>37</v>
      </c>
      <c r="I22" s="1" t="s">
        <v>63</v>
      </c>
      <c r="L22" s="1" t="s">
        <v>64</v>
      </c>
      <c r="M22" s="1" t="str">
        <f aca="false">_xlfn.TEXTJOIN( ,0,O22,", ",N22, )</f>
        <v>30.4199104309082, -91.0726928710938</v>
      </c>
      <c r="N22" s="1" t="n">
        <v>-91.0726928710938</v>
      </c>
      <c r="O22" s="1" t="n">
        <v>30.4199104309082</v>
      </c>
      <c r="P22" s="1" t="s">
        <v>24</v>
      </c>
    </row>
    <row r="23" customFormat="false" ht="15" hidden="false" customHeight="false" outlineLevel="0" collapsed="false">
      <c r="A23" s="1" t="n">
        <v>22</v>
      </c>
      <c r="B23" s="1" t="n">
        <v>1</v>
      </c>
      <c r="C23" s="1" t="n">
        <v>2143</v>
      </c>
      <c r="D23" s="1" t="n">
        <v>1</v>
      </c>
      <c r="E23" s="1" t="s">
        <v>65</v>
      </c>
      <c r="F23" s="1" t="s">
        <v>16</v>
      </c>
      <c r="H23" s="1" t="n">
        <v>0</v>
      </c>
      <c r="I23" s="1" t="s">
        <v>16</v>
      </c>
      <c r="L23" s="1" t="s">
        <v>66</v>
      </c>
      <c r="M23" s="1" t="str">
        <f aca="false">_xlfn.TEXTJOIN( ,0,O23,", ",N23, )</f>
        <v>30.436731338501, -91.190803527832</v>
      </c>
      <c r="N23" s="1" t="n">
        <v>-91.190803527832</v>
      </c>
      <c r="O23" s="1" t="n">
        <v>30.436731338501</v>
      </c>
      <c r="P23" s="1" t="s">
        <v>24</v>
      </c>
    </row>
    <row r="24" customFormat="false" ht="15" hidden="false" customHeight="false" outlineLevel="0" collapsed="false">
      <c r="A24" s="1" t="n">
        <v>23</v>
      </c>
      <c r="B24" s="1" t="n">
        <v>1</v>
      </c>
      <c r="C24" s="1" t="n">
        <v>2144</v>
      </c>
      <c r="D24" s="1" t="n">
        <v>1</v>
      </c>
      <c r="E24" s="1" t="s">
        <v>67</v>
      </c>
      <c r="F24" s="1" t="s">
        <v>16</v>
      </c>
      <c r="H24" s="1" t="n">
        <v>0</v>
      </c>
      <c r="I24" s="1" t="s">
        <v>16</v>
      </c>
      <c r="L24" s="1" t="s">
        <v>68</v>
      </c>
      <c r="M24" s="1" t="str">
        <f aca="false">_xlfn.TEXTJOIN( ,0,O24,", ",N24, )</f>
        <v>30.5431880950928, -91.063346862793</v>
      </c>
      <c r="N24" s="1" t="n">
        <v>-91.063346862793</v>
      </c>
      <c r="O24" s="1" t="n">
        <v>30.5431880950928</v>
      </c>
      <c r="P24" s="1" t="s">
        <v>24</v>
      </c>
    </row>
    <row r="25" customFormat="false" ht="15" hidden="false" customHeight="false" outlineLevel="0" collapsed="false">
      <c r="A25" s="1" t="n">
        <v>24</v>
      </c>
      <c r="B25" s="1" t="n">
        <v>1</v>
      </c>
      <c r="C25" s="1" t="n">
        <v>2145</v>
      </c>
      <c r="D25" s="1" t="n">
        <v>1</v>
      </c>
      <c r="E25" s="1" t="s">
        <v>69</v>
      </c>
      <c r="F25" s="1" t="s">
        <v>70</v>
      </c>
      <c r="H25" s="1" t="s">
        <v>37</v>
      </c>
      <c r="L25" s="1" t="s">
        <v>71</v>
      </c>
      <c r="M25" s="1" t="str">
        <f aca="false">_xlfn.TEXTJOIN( ,0,O25,", ",N25, )</f>
        <v>30.3714904785156, -91.0303802490234</v>
      </c>
      <c r="N25" s="1" t="n">
        <v>-91.0303802490234</v>
      </c>
      <c r="O25" s="1" t="n">
        <v>30.3714904785156</v>
      </c>
      <c r="P25" s="1" t="s">
        <v>24</v>
      </c>
    </row>
    <row r="26" customFormat="false" ht="15" hidden="false" customHeight="false" outlineLevel="0" collapsed="false">
      <c r="A26" s="1" t="n">
        <v>25</v>
      </c>
      <c r="B26" s="1" t="n">
        <v>1</v>
      </c>
      <c r="C26" s="1" t="n">
        <v>2146</v>
      </c>
      <c r="D26" s="1" t="n">
        <v>1</v>
      </c>
      <c r="E26" s="1" t="s">
        <v>72</v>
      </c>
      <c r="F26" s="1" t="s">
        <v>16</v>
      </c>
      <c r="H26" s="1" t="n">
        <v>0</v>
      </c>
      <c r="I26" s="1" t="s">
        <v>16</v>
      </c>
      <c r="L26" s="1" t="s">
        <v>73</v>
      </c>
      <c r="M26" s="1" t="str">
        <f aca="false">_xlfn.TEXTJOIN( ,0,O26,", ",N26, )</f>
        <v>30.4705505371094, -91.1419296264648</v>
      </c>
      <c r="N26" s="1" t="n">
        <v>-91.1419296264648</v>
      </c>
      <c r="O26" s="1" t="n">
        <v>30.4705505371094</v>
      </c>
      <c r="P26" s="1" t="s">
        <v>24</v>
      </c>
    </row>
    <row r="27" customFormat="false" ht="15" hidden="false" customHeight="false" outlineLevel="0" collapsed="false">
      <c r="A27" s="1" t="n">
        <v>26</v>
      </c>
      <c r="B27" s="1" t="n">
        <v>1</v>
      </c>
      <c r="C27" s="1" t="n">
        <v>2147</v>
      </c>
      <c r="D27" s="1" t="n">
        <v>1</v>
      </c>
      <c r="E27" s="1" t="s">
        <v>74</v>
      </c>
      <c r="F27" s="1" t="s">
        <v>16</v>
      </c>
      <c r="H27" s="1" t="n">
        <v>0</v>
      </c>
      <c r="I27" s="1" t="s">
        <v>16</v>
      </c>
      <c r="L27" s="1" t="s">
        <v>73</v>
      </c>
      <c r="M27" s="1" t="str">
        <f aca="false">_xlfn.TEXTJOIN( ,0,O27,", ",N27, )</f>
        <v>30.4705505371094, -91.1419296264648</v>
      </c>
      <c r="N27" s="1" t="n">
        <v>-91.1419296264648</v>
      </c>
      <c r="O27" s="1" t="n">
        <v>30.4705505371094</v>
      </c>
      <c r="P27" s="1" t="s">
        <v>24</v>
      </c>
    </row>
    <row r="28" customFormat="false" ht="15" hidden="false" customHeight="false" outlineLevel="0" collapsed="false">
      <c r="A28" s="1" t="n">
        <v>27</v>
      </c>
      <c r="B28" s="1" t="n">
        <v>1</v>
      </c>
      <c r="C28" s="1" t="n">
        <v>2148</v>
      </c>
      <c r="D28" s="1" t="n">
        <v>1</v>
      </c>
      <c r="E28" s="1" t="s">
        <v>75</v>
      </c>
      <c r="F28" s="1" t="s">
        <v>16</v>
      </c>
      <c r="H28" s="1" t="n">
        <v>0</v>
      </c>
      <c r="I28" s="1" t="s">
        <v>16</v>
      </c>
      <c r="L28" s="1" t="s">
        <v>76</v>
      </c>
      <c r="M28" s="1" t="str">
        <f aca="false">_xlfn.TEXTJOIN( ,0,O28,", ",N28, )</f>
        <v>30.3972797393799, -91.0569229125977</v>
      </c>
      <c r="N28" s="1" t="n">
        <v>-91.0569229125977</v>
      </c>
      <c r="O28" s="1" t="n">
        <v>30.3972797393799</v>
      </c>
      <c r="P28" s="1" t="s">
        <v>24</v>
      </c>
    </row>
    <row r="29" customFormat="false" ht="15" hidden="false" customHeight="false" outlineLevel="0" collapsed="false">
      <c r="A29" s="1" t="n">
        <v>28</v>
      </c>
      <c r="B29" s="1" t="n">
        <v>1</v>
      </c>
      <c r="C29" s="1" t="n">
        <v>2149</v>
      </c>
      <c r="D29" s="1" t="n">
        <v>1</v>
      </c>
      <c r="E29" s="1" t="s">
        <v>77</v>
      </c>
      <c r="F29" s="1" t="s">
        <v>78</v>
      </c>
      <c r="G29" s="1" t="s">
        <v>79</v>
      </c>
      <c r="H29" s="1" t="s">
        <v>37</v>
      </c>
      <c r="L29" s="1" t="s">
        <v>80</v>
      </c>
      <c r="M29" s="1" t="str">
        <f aca="false">_xlfn.TEXTJOIN( ,0,O29,", ",N29, )</f>
        <v>30.4507694244385, -91.1414794921875</v>
      </c>
      <c r="N29" s="1" t="n">
        <v>-91.1414794921875</v>
      </c>
      <c r="O29" s="1" t="n">
        <v>30.4507694244385</v>
      </c>
      <c r="P29" s="1" t="s">
        <v>24</v>
      </c>
    </row>
    <row r="30" customFormat="false" ht="15" hidden="false" customHeight="false" outlineLevel="0" collapsed="false">
      <c r="A30" s="1" t="n">
        <v>29</v>
      </c>
      <c r="B30" s="1" t="n">
        <v>1</v>
      </c>
      <c r="C30" s="1" t="n">
        <v>2150</v>
      </c>
      <c r="D30" s="1" t="n">
        <v>1</v>
      </c>
      <c r="E30" s="1" t="s">
        <v>81</v>
      </c>
      <c r="F30" s="1" t="s">
        <v>16</v>
      </c>
      <c r="H30" s="1" t="n">
        <v>0</v>
      </c>
      <c r="I30" s="1" t="s">
        <v>16</v>
      </c>
      <c r="L30" s="1" t="s">
        <v>82</v>
      </c>
      <c r="M30" s="1" t="str">
        <f aca="false">_xlfn.TEXTJOIN( ,0,O30,", ",N30, )</f>
        <v>30.4511909484863, -91.1693725585938</v>
      </c>
      <c r="N30" s="1" t="n">
        <v>-91.1693725585938</v>
      </c>
      <c r="O30" s="1" t="n">
        <v>30.4511909484863</v>
      </c>
      <c r="P30" s="1" t="s">
        <v>24</v>
      </c>
    </row>
    <row r="31" customFormat="false" ht="15" hidden="false" customHeight="false" outlineLevel="0" collapsed="false">
      <c r="A31" s="1" t="n">
        <v>30</v>
      </c>
      <c r="B31" s="1" t="n">
        <v>1</v>
      </c>
      <c r="C31" s="1" t="n">
        <v>2151</v>
      </c>
      <c r="D31" s="1" t="n">
        <v>1</v>
      </c>
      <c r="E31" s="1" t="s">
        <v>83</v>
      </c>
      <c r="F31" s="1" t="s">
        <v>16</v>
      </c>
      <c r="H31" s="1" t="n">
        <v>0</v>
      </c>
      <c r="I31" s="1" t="s">
        <v>16</v>
      </c>
      <c r="L31" s="1" t="s">
        <v>84</v>
      </c>
      <c r="M31" s="1" t="str">
        <f aca="false">_xlfn.TEXTJOIN( ,0,O31,", ",N31, )</f>
        <v>30.450740814209, -91.1774520874023</v>
      </c>
      <c r="N31" s="1" t="n">
        <v>-91.1774520874023</v>
      </c>
      <c r="O31" s="1" t="n">
        <v>30.450740814209</v>
      </c>
      <c r="P31" s="1" t="s">
        <v>24</v>
      </c>
    </row>
    <row r="32" customFormat="false" ht="15" hidden="false" customHeight="false" outlineLevel="0" collapsed="false">
      <c r="A32" s="1" t="n">
        <v>31</v>
      </c>
      <c r="B32" s="1" t="n">
        <v>1</v>
      </c>
      <c r="C32" s="1" t="n">
        <v>2152</v>
      </c>
      <c r="D32" s="1" t="n">
        <v>1</v>
      </c>
      <c r="E32" s="1" t="s">
        <v>85</v>
      </c>
      <c r="F32" s="1" t="s">
        <v>16</v>
      </c>
      <c r="H32" s="1" t="n">
        <v>0</v>
      </c>
      <c r="I32" s="1" t="s">
        <v>16</v>
      </c>
      <c r="L32" s="1" t="s">
        <v>86</v>
      </c>
      <c r="M32" s="1" t="str">
        <f aca="false">_xlfn.TEXTJOIN( ,0,O32,", ",N32, )</f>
        <v>30.4548740386963, -91.1793441772461</v>
      </c>
      <c r="N32" s="1" t="n">
        <v>-91.1793441772461</v>
      </c>
      <c r="O32" s="1" t="n">
        <v>30.4548740386963</v>
      </c>
      <c r="P32" s="1" t="s">
        <v>24</v>
      </c>
    </row>
    <row r="33" customFormat="false" ht="15" hidden="false" customHeight="false" outlineLevel="0" collapsed="false">
      <c r="A33" s="1" t="n">
        <v>32</v>
      </c>
      <c r="B33" s="1" t="n">
        <v>1</v>
      </c>
      <c r="C33" s="1" t="n">
        <v>2153</v>
      </c>
      <c r="D33" s="1" t="n">
        <v>1</v>
      </c>
      <c r="E33" s="1" t="s">
        <v>87</v>
      </c>
      <c r="F33" s="1" t="s">
        <v>16</v>
      </c>
      <c r="H33" s="1" t="n">
        <v>0</v>
      </c>
      <c r="I33" s="1" t="s">
        <v>16</v>
      </c>
      <c r="L33" s="1" t="s">
        <v>88</v>
      </c>
      <c r="M33" s="1" t="str">
        <f aca="false">_xlfn.TEXTJOIN( ,0,O33,", ",N33, )</f>
        <v>30.4538497924805, -91.1566009521484</v>
      </c>
      <c r="N33" s="1" t="n">
        <v>-91.1566009521484</v>
      </c>
      <c r="O33" s="1" t="n">
        <v>30.4538497924805</v>
      </c>
      <c r="P33" s="1" t="s">
        <v>24</v>
      </c>
    </row>
    <row r="34" customFormat="false" ht="15" hidden="false" customHeight="false" outlineLevel="0" collapsed="false">
      <c r="A34" s="1" t="n">
        <v>33</v>
      </c>
      <c r="B34" s="1" t="n">
        <v>1</v>
      </c>
      <c r="C34" s="1" t="n">
        <v>2154</v>
      </c>
      <c r="D34" s="1" t="n">
        <v>1</v>
      </c>
      <c r="E34" s="1" t="s">
        <v>89</v>
      </c>
      <c r="F34" s="1" t="s">
        <v>16</v>
      </c>
      <c r="H34" s="1" t="n">
        <v>0</v>
      </c>
      <c r="I34" s="1" t="s">
        <v>16</v>
      </c>
      <c r="L34" s="1" t="s">
        <v>90</v>
      </c>
      <c r="M34" s="1" t="str">
        <f aca="false">_xlfn.TEXTJOIN( ,0,O34,", ",N34, )</f>
        <v>30.4347476959229, -91.1791000366211</v>
      </c>
      <c r="N34" s="1" t="n">
        <v>-91.1791000366211</v>
      </c>
      <c r="O34" s="1" t="n">
        <v>30.4347476959229</v>
      </c>
      <c r="P34" s="1" t="s">
        <v>24</v>
      </c>
    </row>
    <row r="35" customFormat="false" ht="15" hidden="false" customHeight="false" outlineLevel="0" collapsed="false">
      <c r="A35" s="1" t="n">
        <v>34</v>
      </c>
      <c r="B35" s="1" t="n">
        <v>1</v>
      </c>
      <c r="C35" s="1" t="n">
        <v>2155</v>
      </c>
      <c r="D35" s="1" t="n">
        <v>1</v>
      </c>
      <c r="E35" s="1" t="s">
        <v>91</v>
      </c>
      <c r="F35" s="1" t="s">
        <v>16</v>
      </c>
      <c r="H35" s="1" t="n">
        <v>0</v>
      </c>
      <c r="I35" s="1" t="s">
        <v>16</v>
      </c>
      <c r="L35" s="1" t="s">
        <v>92</v>
      </c>
      <c r="M35" s="1" t="str">
        <f aca="false">_xlfn.TEXTJOIN( ,0,O35,", ",N35, )</f>
        <v>30.4341316223145, -91.1784973144531</v>
      </c>
      <c r="N35" s="1" t="n">
        <v>-91.1784973144531</v>
      </c>
      <c r="O35" s="1" t="n">
        <v>30.4341316223145</v>
      </c>
      <c r="P35" s="1" t="s">
        <v>24</v>
      </c>
    </row>
    <row r="36" customFormat="false" ht="15" hidden="false" customHeight="false" outlineLevel="0" collapsed="false">
      <c r="A36" s="1" t="n">
        <v>35</v>
      </c>
      <c r="B36" s="1" t="n">
        <v>1</v>
      </c>
      <c r="C36" s="1" t="n">
        <v>2156</v>
      </c>
      <c r="D36" s="1" t="n">
        <v>1</v>
      </c>
      <c r="E36" s="1" t="s">
        <v>93</v>
      </c>
      <c r="F36" s="1" t="s">
        <v>16</v>
      </c>
      <c r="H36" s="1" t="n">
        <v>0</v>
      </c>
      <c r="I36" s="1" t="s">
        <v>16</v>
      </c>
      <c r="L36" s="1" t="s">
        <v>94</v>
      </c>
      <c r="M36" s="1" t="str">
        <f aca="false">_xlfn.TEXTJOIN( ,0,O36,", ",N36, )</f>
        <v>30.450080871582, -91.1626968383789</v>
      </c>
      <c r="N36" s="1" t="n">
        <v>-91.1626968383789</v>
      </c>
      <c r="O36" s="1" t="n">
        <v>30.450080871582</v>
      </c>
      <c r="P36" s="1" t="s">
        <v>24</v>
      </c>
    </row>
    <row r="37" customFormat="false" ht="15" hidden="false" customHeight="false" outlineLevel="0" collapsed="false">
      <c r="A37" s="1" t="n">
        <v>36</v>
      </c>
      <c r="B37" s="1" t="n">
        <v>1</v>
      </c>
      <c r="C37" s="1" t="n">
        <v>2157</v>
      </c>
      <c r="D37" s="1" t="n">
        <v>1</v>
      </c>
      <c r="E37" s="1" t="s">
        <v>95</v>
      </c>
      <c r="F37" s="1" t="s">
        <v>16</v>
      </c>
      <c r="H37" s="1" t="n">
        <v>0</v>
      </c>
      <c r="I37" s="1" t="s">
        <v>16</v>
      </c>
      <c r="L37" s="1" t="s">
        <v>96</v>
      </c>
      <c r="M37" s="1" t="str">
        <f aca="false">_xlfn.TEXTJOIN( ,0,O37,", ",N37, )</f>
        <v>30.4517517089844, -91.1785583496094</v>
      </c>
      <c r="N37" s="1" t="n">
        <v>-91.1785583496094</v>
      </c>
      <c r="O37" s="1" t="n">
        <v>30.4517517089844</v>
      </c>
      <c r="P37" s="1" t="s">
        <v>24</v>
      </c>
    </row>
    <row r="38" customFormat="false" ht="15" hidden="false" customHeight="false" outlineLevel="0" collapsed="false">
      <c r="A38" s="1" t="n">
        <v>37</v>
      </c>
      <c r="B38" s="1" t="n">
        <v>1</v>
      </c>
      <c r="C38" s="1" t="n">
        <v>2158</v>
      </c>
      <c r="D38" s="1" t="n">
        <v>1</v>
      </c>
      <c r="E38" s="1" t="s">
        <v>97</v>
      </c>
      <c r="F38" s="1" t="s">
        <v>16</v>
      </c>
      <c r="H38" s="1" t="n">
        <v>0</v>
      </c>
      <c r="I38" s="1" t="s">
        <v>16</v>
      </c>
      <c r="L38" s="1" t="s">
        <v>98</v>
      </c>
      <c r="M38" s="1" t="str">
        <f aca="false">_xlfn.TEXTJOIN( ,0,O38,", ",N38, )</f>
        <v>30.4556007385254, -91.1794815063477</v>
      </c>
      <c r="N38" s="1" t="n">
        <v>-91.1794815063477</v>
      </c>
      <c r="O38" s="1" t="n">
        <v>30.4556007385254</v>
      </c>
      <c r="P38" s="1" t="s">
        <v>24</v>
      </c>
    </row>
    <row r="39" customFormat="false" ht="15" hidden="false" customHeight="false" outlineLevel="0" collapsed="false">
      <c r="A39" s="1" t="n">
        <v>38</v>
      </c>
      <c r="B39" s="1" t="n">
        <v>1</v>
      </c>
      <c r="C39" s="1" t="n">
        <v>2159</v>
      </c>
      <c r="D39" s="1" t="n">
        <v>1</v>
      </c>
      <c r="E39" s="1" t="s">
        <v>99</v>
      </c>
      <c r="F39" s="1" t="s">
        <v>16</v>
      </c>
      <c r="H39" s="1" t="n">
        <v>0</v>
      </c>
      <c r="I39" s="1" t="s">
        <v>16</v>
      </c>
      <c r="L39" s="1" t="s">
        <v>100</v>
      </c>
      <c r="M39" s="1" t="str">
        <f aca="false">_xlfn.TEXTJOIN( ,0,O39,", ",N39, )</f>
        <v>30.4549160003662, -91.1773986816406</v>
      </c>
      <c r="N39" s="1" t="n">
        <v>-91.1773986816406</v>
      </c>
      <c r="O39" s="1" t="n">
        <v>30.4549160003662</v>
      </c>
      <c r="P39" s="1" t="s">
        <v>24</v>
      </c>
    </row>
    <row r="40" customFormat="false" ht="15" hidden="false" customHeight="false" outlineLevel="0" collapsed="false">
      <c r="A40" s="1" t="n">
        <v>39</v>
      </c>
      <c r="B40" s="1" t="n">
        <v>1</v>
      </c>
      <c r="C40" s="1" t="n">
        <v>2160</v>
      </c>
      <c r="D40" s="1" t="n">
        <v>1</v>
      </c>
      <c r="E40" s="1" t="s">
        <v>101</v>
      </c>
      <c r="F40" s="1" t="s">
        <v>16</v>
      </c>
      <c r="H40" s="1" t="n">
        <v>0</v>
      </c>
      <c r="I40" s="1" t="s">
        <v>16</v>
      </c>
      <c r="L40" s="1" t="s">
        <v>102</v>
      </c>
      <c r="M40" s="1" t="str">
        <f aca="false">_xlfn.TEXTJOIN( ,0,O40,", ",N40, )</f>
        <v>30.4550113677979, -91.1744766235352</v>
      </c>
      <c r="N40" s="1" t="n">
        <v>-91.1744766235352</v>
      </c>
      <c r="O40" s="1" t="n">
        <v>30.4550113677979</v>
      </c>
      <c r="P40" s="1" t="s">
        <v>24</v>
      </c>
    </row>
    <row r="41" customFormat="false" ht="15" hidden="false" customHeight="false" outlineLevel="0" collapsed="false">
      <c r="A41" s="1" t="n">
        <v>40</v>
      </c>
      <c r="B41" s="1" t="n">
        <v>1</v>
      </c>
      <c r="C41" s="1" t="n">
        <v>2161</v>
      </c>
      <c r="D41" s="1" t="n">
        <v>1</v>
      </c>
      <c r="E41" s="1" t="s">
        <v>103</v>
      </c>
      <c r="F41" s="1" t="s">
        <v>16</v>
      </c>
      <c r="H41" s="1" t="n">
        <v>0</v>
      </c>
      <c r="I41" s="1" t="s">
        <v>16</v>
      </c>
      <c r="L41" s="1" t="s">
        <v>104</v>
      </c>
      <c r="M41" s="1" t="str">
        <f aca="false">_xlfn.TEXTJOIN( ,0,O41,", ",N41, )</f>
        <v>30.4349803924561, -91.1856994628906</v>
      </c>
      <c r="N41" s="1" t="n">
        <v>-91.1856994628906</v>
      </c>
      <c r="O41" s="1" t="n">
        <v>30.4349803924561</v>
      </c>
      <c r="P41" s="1" t="s">
        <v>24</v>
      </c>
    </row>
    <row r="42" customFormat="false" ht="15" hidden="false" customHeight="false" outlineLevel="0" collapsed="false">
      <c r="A42" s="1" t="n">
        <v>41</v>
      </c>
      <c r="B42" s="1" t="n">
        <v>1</v>
      </c>
      <c r="C42" s="1" t="n">
        <v>2162</v>
      </c>
      <c r="D42" s="1" t="n">
        <v>1</v>
      </c>
      <c r="E42" s="1" t="s">
        <v>105</v>
      </c>
      <c r="F42" s="1" t="s">
        <v>16</v>
      </c>
      <c r="H42" s="1" t="n">
        <v>0</v>
      </c>
      <c r="I42" s="1" t="s">
        <v>16</v>
      </c>
      <c r="L42" s="1" t="s">
        <v>106</v>
      </c>
      <c r="M42" s="1" t="str">
        <f aca="false">_xlfn.TEXTJOIN( ,0,O42,", ",N42, )</f>
        <v>30.4503879547119, -91.1533813476563</v>
      </c>
      <c r="N42" s="1" t="n">
        <v>-91.1533813476563</v>
      </c>
      <c r="O42" s="1" t="n">
        <v>30.4503879547119</v>
      </c>
      <c r="P42" s="1" t="s">
        <v>24</v>
      </c>
    </row>
    <row r="43" customFormat="false" ht="15" hidden="false" customHeight="false" outlineLevel="0" collapsed="false">
      <c r="A43" s="1" t="n">
        <v>42</v>
      </c>
      <c r="B43" s="1" t="n">
        <v>1</v>
      </c>
      <c r="C43" s="1" t="n">
        <v>2163</v>
      </c>
      <c r="D43" s="1" t="n">
        <v>1</v>
      </c>
      <c r="E43" s="1" t="s">
        <v>107</v>
      </c>
      <c r="F43" s="1" t="s">
        <v>16</v>
      </c>
      <c r="H43" s="1" t="n">
        <v>0</v>
      </c>
      <c r="I43" s="1" t="s">
        <v>16</v>
      </c>
      <c r="L43" s="1" t="s">
        <v>108</v>
      </c>
      <c r="M43" s="1" t="str">
        <f aca="false">_xlfn.TEXTJOIN( ,0,O43,", ",N43, )</f>
        <v>30.4358501434326, -91.1864776611328</v>
      </c>
      <c r="N43" s="1" t="n">
        <v>-91.1864776611328</v>
      </c>
      <c r="O43" s="1" t="n">
        <v>30.4358501434326</v>
      </c>
      <c r="P43" s="1" t="s">
        <v>24</v>
      </c>
    </row>
    <row r="44" customFormat="false" ht="15" hidden="false" customHeight="false" outlineLevel="0" collapsed="false">
      <c r="A44" s="1" t="n">
        <v>43</v>
      </c>
      <c r="B44" s="1" t="n">
        <v>1</v>
      </c>
      <c r="C44" s="1" t="n">
        <v>2164</v>
      </c>
      <c r="D44" s="1" t="n">
        <v>1</v>
      </c>
      <c r="E44" s="1" t="s">
        <v>109</v>
      </c>
      <c r="F44" s="1" t="s">
        <v>16</v>
      </c>
      <c r="H44" s="1" t="n">
        <v>0</v>
      </c>
      <c r="I44" s="1" t="s">
        <v>16</v>
      </c>
      <c r="L44" s="1" t="s">
        <v>110</v>
      </c>
      <c r="M44" s="1" t="str">
        <f aca="false">_xlfn.TEXTJOIN( ,0,O44,", ",N44, )</f>
        <v>30.4945602416992, -91.1330032348633</v>
      </c>
      <c r="N44" s="1" t="n">
        <v>-91.1330032348633</v>
      </c>
      <c r="O44" s="1" t="n">
        <v>30.4945602416992</v>
      </c>
      <c r="P44" s="1" t="s">
        <v>24</v>
      </c>
    </row>
    <row r="45" customFormat="false" ht="15" hidden="false" customHeight="false" outlineLevel="0" collapsed="false">
      <c r="A45" s="1" t="n">
        <v>44</v>
      </c>
      <c r="B45" s="1" t="n">
        <v>1</v>
      </c>
      <c r="C45" s="1" t="n">
        <v>2165</v>
      </c>
      <c r="D45" s="1" t="n">
        <v>1</v>
      </c>
      <c r="E45" s="1" t="s">
        <v>111</v>
      </c>
      <c r="F45" s="1" t="s">
        <v>16</v>
      </c>
      <c r="H45" s="1" t="n">
        <v>0</v>
      </c>
      <c r="I45" s="1" t="s">
        <v>16</v>
      </c>
      <c r="L45" s="1" t="s">
        <v>112</v>
      </c>
      <c r="M45" s="1" t="str">
        <f aca="false">_xlfn.TEXTJOIN( ,0,O45,", ",N45, )</f>
        <v>30.4950294494629, -91.1314010620117</v>
      </c>
      <c r="N45" s="1" t="n">
        <v>-91.1314010620117</v>
      </c>
      <c r="O45" s="1" t="n">
        <v>30.4950294494629</v>
      </c>
      <c r="P45" s="1" t="s">
        <v>24</v>
      </c>
    </row>
    <row r="46" customFormat="false" ht="15" hidden="false" customHeight="false" outlineLevel="0" collapsed="false">
      <c r="A46" s="1" t="n">
        <v>45</v>
      </c>
      <c r="B46" s="1" t="n">
        <v>1</v>
      </c>
      <c r="C46" s="1" t="n">
        <v>2166</v>
      </c>
      <c r="D46" s="1" t="n">
        <v>1</v>
      </c>
      <c r="E46" s="1" t="s">
        <v>113</v>
      </c>
      <c r="F46" s="1" t="s">
        <v>16</v>
      </c>
      <c r="H46" s="1" t="n">
        <v>0</v>
      </c>
      <c r="I46" s="1" t="s">
        <v>16</v>
      </c>
      <c r="L46" s="1" t="s">
        <v>114</v>
      </c>
      <c r="M46" s="1" t="str">
        <f aca="false">_xlfn.TEXTJOIN( ,0,O46,", ",N46, )</f>
        <v>30.4950294494629, -91.1325378417969</v>
      </c>
      <c r="N46" s="1" t="n">
        <v>-91.1325378417969</v>
      </c>
      <c r="O46" s="1" t="n">
        <v>30.4950294494629</v>
      </c>
      <c r="P46" s="1" t="s">
        <v>24</v>
      </c>
    </row>
    <row r="47" customFormat="false" ht="15" hidden="false" customHeight="false" outlineLevel="0" collapsed="false">
      <c r="A47" s="1" t="n">
        <v>46</v>
      </c>
      <c r="B47" s="1" t="n">
        <v>1</v>
      </c>
      <c r="C47" s="1" t="n">
        <v>2167</v>
      </c>
      <c r="D47" s="1" t="n">
        <v>1</v>
      </c>
      <c r="E47" s="1" t="s">
        <v>115</v>
      </c>
      <c r="F47" s="1" t="s">
        <v>16</v>
      </c>
      <c r="H47" s="1" t="n">
        <v>0</v>
      </c>
      <c r="I47" s="1" t="s">
        <v>16</v>
      </c>
      <c r="L47" s="1" t="s">
        <v>116</v>
      </c>
      <c r="M47" s="1" t="str">
        <f aca="false">_xlfn.TEXTJOIN( ,0,O47,", ",N47, )</f>
        <v>30.469030380249, -91.1681213378906</v>
      </c>
      <c r="N47" s="1" t="n">
        <v>-91.1681213378906</v>
      </c>
      <c r="O47" s="1" t="n">
        <v>30.469030380249</v>
      </c>
      <c r="P47" s="1" t="s">
        <v>24</v>
      </c>
    </row>
    <row r="48" customFormat="false" ht="15" hidden="false" customHeight="false" outlineLevel="0" collapsed="false">
      <c r="A48" s="1" t="n">
        <v>47</v>
      </c>
      <c r="B48" s="1" t="n">
        <v>1</v>
      </c>
      <c r="C48" s="1" t="n">
        <v>2168</v>
      </c>
      <c r="D48" s="1" t="n">
        <v>1</v>
      </c>
      <c r="E48" s="1" t="s">
        <v>117</v>
      </c>
      <c r="F48" s="1" t="s">
        <v>16</v>
      </c>
      <c r="H48" s="1" t="n">
        <v>0</v>
      </c>
      <c r="I48" s="1" t="s">
        <v>16</v>
      </c>
      <c r="L48" s="1" t="s">
        <v>118</v>
      </c>
      <c r="M48" s="1" t="str">
        <f aca="false">_xlfn.TEXTJOIN( ,0,O48,", ",N48, )</f>
        <v>30.5305614471436, -91.1821823120117</v>
      </c>
      <c r="N48" s="1" t="n">
        <v>-91.1821823120117</v>
      </c>
      <c r="O48" s="1" t="n">
        <v>30.5305614471436</v>
      </c>
      <c r="P48" s="1" t="s">
        <v>24</v>
      </c>
    </row>
    <row r="49" customFormat="false" ht="15" hidden="false" customHeight="false" outlineLevel="0" collapsed="false">
      <c r="A49" s="1" t="n">
        <v>48</v>
      </c>
      <c r="B49" s="1" t="n">
        <v>1</v>
      </c>
      <c r="C49" s="1" t="n">
        <v>2169</v>
      </c>
      <c r="D49" s="1" t="n">
        <v>1</v>
      </c>
      <c r="E49" s="1" t="s">
        <v>119</v>
      </c>
      <c r="F49" s="1" t="s">
        <v>16</v>
      </c>
      <c r="H49" s="1" t="n">
        <v>0</v>
      </c>
      <c r="I49" s="1" t="s">
        <v>16</v>
      </c>
      <c r="L49" s="1" t="s">
        <v>120</v>
      </c>
      <c r="M49" s="1" t="str">
        <f aca="false">_xlfn.TEXTJOIN( ,0,O49,", ",N49, )</f>
        <v>30.4384002685547, -91.175163269043</v>
      </c>
      <c r="N49" s="1" t="n">
        <v>-91.175163269043</v>
      </c>
      <c r="O49" s="1" t="n">
        <v>30.4384002685547</v>
      </c>
      <c r="P49" s="1" t="s">
        <v>24</v>
      </c>
    </row>
    <row r="50" customFormat="false" ht="15" hidden="false" customHeight="false" outlineLevel="0" collapsed="false">
      <c r="A50" s="1" t="n">
        <v>49</v>
      </c>
      <c r="B50" s="1" t="n">
        <v>1</v>
      </c>
      <c r="C50" s="1" t="n">
        <v>2170</v>
      </c>
      <c r="D50" s="1" t="n">
        <v>1</v>
      </c>
      <c r="E50" s="1" t="s">
        <v>121</v>
      </c>
      <c r="F50" s="1" t="s">
        <v>16</v>
      </c>
      <c r="H50" s="1" t="n">
        <v>0</v>
      </c>
      <c r="I50" s="1" t="s">
        <v>16</v>
      </c>
      <c r="L50" s="1" t="s">
        <v>122</v>
      </c>
      <c r="M50" s="1" t="str">
        <f aca="false">_xlfn.TEXTJOIN( ,0,O50,", ",N50, )</f>
        <v>30.4715309143066, -91.1230773925781</v>
      </c>
      <c r="N50" s="1" t="n">
        <v>-91.1230773925781</v>
      </c>
      <c r="O50" s="1" t="n">
        <v>30.4715309143066</v>
      </c>
      <c r="P50" s="1" t="s">
        <v>24</v>
      </c>
    </row>
    <row r="51" customFormat="false" ht="15" hidden="false" customHeight="false" outlineLevel="0" collapsed="false">
      <c r="A51" s="1" t="n">
        <v>50</v>
      </c>
      <c r="B51" s="1" t="n">
        <v>1</v>
      </c>
      <c r="C51" s="1" t="n">
        <v>2171</v>
      </c>
      <c r="D51" s="1" t="n">
        <v>1</v>
      </c>
      <c r="E51" s="1" t="s">
        <v>123</v>
      </c>
      <c r="F51" s="1" t="s">
        <v>16</v>
      </c>
      <c r="H51" s="1" t="n">
        <v>0</v>
      </c>
      <c r="I51" s="1" t="s">
        <v>16</v>
      </c>
      <c r="L51" s="1" t="s">
        <v>124</v>
      </c>
      <c r="M51" s="1" t="str">
        <f aca="false">_xlfn.TEXTJOIN( ,0,O51,", ",N51, )</f>
        <v>30.4502105712891, -91.1588287353516</v>
      </c>
      <c r="N51" s="1" t="n">
        <v>-91.1588287353516</v>
      </c>
      <c r="O51" s="1" t="n">
        <v>30.4502105712891</v>
      </c>
      <c r="P51" s="1" t="s">
        <v>24</v>
      </c>
    </row>
    <row r="52" customFormat="false" ht="15" hidden="false" customHeight="false" outlineLevel="0" collapsed="false">
      <c r="A52" s="1" t="n">
        <v>51</v>
      </c>
      <c r="B52" s="1" t="n">
        <v>1</v>
      </c>
      <c r="C52" s="1" t="n">
        <v>2172</v>
      </c>
      <c r="D52" s="1" t="n">
        <v>1</v>
      </c>
      <c r="E52" s="1" t="s">
        <v>125</v>
      </c>
      <c r="F52" s="1" t="s">
        <v>16</v>
      </c>
      <c r="H52" s="1" t="n">
        <v>0</v>
      </c>
      <c r="I52" s="1" t="s">
        <v>16</v>
      </c>
      <c r="L52" s="1" t="s">
        <v>126</v>
      </c>
      <c r="M52" s="1" t="str">
        <f aca="false">_xlfn.TEXTJOIN( ,0,O52,", ",N52, )</f>
        <v>30.4494800567627, -91.1620025634766</v>
      </c>
      <c r="N52" s="1" t="n">
        <v>-91.1620025634766</v>
      </c>
      <c r="O52" s="1" t="n">
        <v>30.4494800567627</v>
      </c>
      <c r="P52" s="1" t="s">
        <v>24</v>
      </c>
    </row>
    <row r="53" customFormat="false" ht="15" hidden="false" customHeight="false" outlineLevel="0" collapsed="false">
      <c r="A53" s="1" t="n">
        <v>52</v>
      </c>
      <c r="B53" s="1" t="n">
        <v>1</v>
      </c>
      <c r="C53" s="1" t="n">
        <v>2173</v>
      </c>
      <c r="D53" s="1" t="n">
        <v>1</v>
      </c>
      <c r="E53" s="1" t="s">
        <v>127</v>
      </c>
      <c r="F53" s="1" t="s">
        <v>16</v>
      </c>
      <c r="H53" s="1" t="n">
        <v>0</v>
      </c>
      <c r="I53" s="1" t="s">
        <v>16</v>
      </c>
      <c r="L53" s="1" t="s">
        <v>128</v>
      </c>
      <c r="M53" s="1" t="str">
        <f aca="false">_xlfn.TEXTJOIN( ,0,O53,", ",N53, )</f>
        <v>30.4513702392578, -91.1633834838867</v>
      </c>
      <c r="N53" s="1" t="n">
        <v>-91.1633834838867</v>
      </c>
      <c r="O53" s="1" t="n">
        <v>30.4513702392578</v>
      </c>
      <c r="P53" s="1" t="s">
        <v>24</v>
      </c>
    </row>
    <row r="54" customFormat="false" ht="15" hidden="false" customHeight="false" outlineLevel="0" collapsed="false">
      <c r="A54" s="1" t="n">
        <v>53</v>
      </c>
      <c r="B54" s="1" t="n">
        <v>1</v>
      </c>
      <c r="C54" s="1" t="n">
        <v>2174</v>
      </c>
      <c r="D54" s="1" t="n">
        <v>1</v>
      </c>
      <c r="E54" s="1" t="s">
        <v>129</v>
      </c>
      <c r="F54" s="1" t="s">
        <v>16</v>
      </c>
      <c r="H54" s="1" t="n">
        <v>0</v>
      </c>
      <c r="I54" s="1" t="s">
        <v>16</v>
      </c>
      <c r="L54" s="1" t="s">
        <v>130</v>
      </c>
      <c r="M54" s="1" t="str">
        <f aca="false">_xlfn.TEXTJOIN( ,0,O54,", ",N54, )</f>
        <v>30.4513607025147, -91.1636581420898</v>
      </c>
      <c r="N54" s="1" t="n">
        <v>-91.1636581420898</v>
      </c>
      <c r="O54" s="1" t="n">
        <v>30.4513607025147</v>
      </c>
      <c r="P54" s="1" t="s">
        <v>24</v>
      </c>
    </row>
    <row r="55" customFormat="false" ht="15" hidden="false" customHeight="false" outlineLevel="0" collapsed="false">
      <c r="A55" s="1" t="n">
        <v>54</v>
      </c>
      <c r="B55" s="1" t="n">
        <v>1</v>
      </c>
      <c r="C55" s="1" t="n">
        <v>2175</v>
      </c>
      <c r="D55" s="1" t="n">
        <v>1</v>
      </c>
      <c r="E55" s="1" t="s">
        <v>131</v>
      </c>
      <c r="F55" s="1" t="s">
        <v>16</v>
      </c>
      <c r="H55" s="1" t="n">
        <v>0</v>
      </c>
      <c r="I55" s="1" t="s">
        <v>16</v>
      </c>
      <c r="L55" s="1" t="s">
        <v>132</v>
      </c>
      <c r="M55" s="1" t="str">
        <f aca="false">_xlfn.TEXTJOIN( ,0,O55,", ",N55, )</f>
        <v>30.4245796203613, -91.1415176391602</v>
      </c>
      <c r="N55" s="1" t="n">
        <v>-91.1415176391602</v>
      </c>
      <c r="O55" s="1" t="n">
        <v>30.4245796203613</v>
      </c>
      <c r="P55" s="1" t="s">
        <v>24</v>
      </c>
    </row>
    <row r="56" customFormat="false" ht="15" hidden="false" customHeight="false" outlineLevel="0" collapsed="false">
      <c r="A56" s="1" t="n">
        <v>55</v>
      </c>
      <c r="B56" s="1" t="n">
        <v>1</v>
      </c>
      <c r="C56" s="1" t="n">
        <v>2176</v>
      </c>
      <c r="D56" s="1" t="n">
        <v>1</v>
      </c>
      <c r="E56" s="1" t="s">
        <v>133</v>
      </c>
      <c r="F56" s="1" t="s">
        <v>16</v>
      </c>
      <c r="H56" s="1" t="n">
        <v>0</v>
      </c>
      <c r="I56" s="1" t="s">
        <v>16</v>
      </c>
      <c r="L56" s="1" t="s">
        <v>134</v>
      </c>
      <c r="M56" s="1" t="str">
        <f aca="false">_xlfn.TEXTJOIN( ,0,O56,", ",N56, )</f>
        <v>30.4441299438477, -91.1758422851563</v>
      </c>
      <c r="N56" s="1" t="n">
        <v>-91.1758422851563</v>
      </c>
      <c r="O56" s="1" t="n">
        <v>30.4441299438477</v>
      </c>
      <c r="P56" s="1" t="s">
        <v>24</v>
      </c>
    </row>
    <row r="57" customFormat="false" ht="15" hidden="false" customHeight="false" outlineLevel="0" collapsed="false">
      <c r="A57" s="1" t="n">
        <v>56</v>
      </c>
      <c r="B57" s="1" t="n">
        <v>1</v>
      </c>
      <c r="C57" s="1" t="n">
        <v>2177</v>
      </c>
      <c r="D57" s="1" t="n">
        <v>1</v>
      </c>
      <c r="E57" s="1" t="s">
        <v>135</v>
      </c>
      <c r="F57" s="1" t="s">
        <v>16</v>
      </c>
      <c r="H57" s="1" t="n">
        <v>0</v>
      </c>
      <c r="I57" s="1" t="s">
        <v>16</v>
      </c>
      <c r="L57" s="1" t="s">
        <v>136</v>
      </c>
      <c r="M57" s="1" t="str">
        <f aca="false">_xlfn.TEXTJOIN( ,0,O57,", ",N57, )</f>
        <v>30.4857349395752, -91.1580123901367</v>
      </c>
      <c r="N57" s="1" t="n">
        <v>-91.1580123901367</v>
      </c>
      <c r="O57" s="1" t="n">
        <v>30.4857349395752</v>
      </c>
      <c r="P57" s="1" t="s">
        <v>24</v>
      </c>
    </row>
    <row r="58" customFormat="false" ht="15" hidden="false" customHeight="false" outlineLevel="0" collapsed="false">
      <c r="A58" s="1" t="n">
        <v>57</v>
      </c>
      <c r="B58" s="1" t="n">
        <v>1</v>
      </c>
      <c r="C58" s="1" t="n">
        <v>2178</v>
      </c>
      <c r="D58" s="1" t="n">
        <v>1</v>
      </c>
      <c r="E58" s="1" t="s">
        <v>137</v>
      </c>
      <c r="F58" s="1" t="s">
        <v>16</v>
      </c>
      <c r="H58" s="1" t="n">
        <v>0</v>
      </c>
      <c r="I58" s="1" t="s">
        <v>16</v>
      </c>
      <c r="L58" s="1" t="s">
        <v>138</v>
      </c>
      <c r="M58" s="1" t="str">
        <f aca="false">_xlfn.TEXTJOIN( ,0,O58,", ",N58, )</f>
        <v>30.4851799011231, -91.1582107543945</v>
      </c>
      <c r="N58" s="1" t="n">
        <v>-91.1582107543945</v>
      </c>
      <c r="O58" s="1" t="n">
        <v>30.4851799011231</v>
      </c>
      <c r="P58" s="1" t="s">
        <v>24</v>
      </c>
    </row>
    <row r="59" customFormat="false" ht="15" hidden="false" customHeight="false" outlineLevel="0" collapsed="false">
      <c r="A59" s="1" t="n">
        <v>58</v>
      </c>
      <c r="B59" s="1" t="n">
        <v>1</v>
      </c>
      <c r="C59" s="1" t="n">
        <v>2179</v>
      </c>
      <c r="D59" s="1" t="n">
        <v>1</v>
      </c>
      <c r="E59" s="1" t="s">
        <v>139</v>
      </c>
      <c r="F59" s="1" t="s">
        <v>16</v>
      </c>
      <c r="H59" s="1" t="n">
        <v>0</v>
      </c>
      <c r="I59" s="1" t="s">
        <v>16</v>
      </c>
      <c r="L59" s="1" t="s">
        <v>140</v>
      </c>
      <c r="M59" s="1" t="str">
        <f aca="false">_xlfn.TEXTJOIN( ,0,O59,", ",N59, )</f>
        <v>30.4768390655518, -91.0836563110352</v>
      </c>
      <c r="N59" s="1" t="n">
        <v>-91.0836563110352</v>
      </c>
      <c r="O59" s="1" t="n">
        <v>30.4768390655518</v>
      </c>
      <c r="P59" s="1" t="s">
        <v>24</v>
      </c>
    </row>
    <row r="60" customFormat="false" ht="15" hidden="false" customHeight="false" outlineLevel="0" collapsed="false">
      <c r="A60" s="1" t="n">
        <v>59</v>
      </c>
      <c r="B60" s="1" t="n">
        <v>1</v>
      </c>
      <c r="C60" s="1" t="n">
        <v>2180</v>
      </c>
      <c r="D60" s="1" t="n">
        <v>1</v>
      </c>
      <c r="E60" s="1" t="s">
        <v>141</v>
      </c>
      <c r="F60" s="1" t="s">
        <v>16</v>
      </c>
      <c r="H60" s="1" t="n">
        <v>0</v>
      </c>
      <c r="I60" s="1" t="s">
        <v>16</v>
      </c>
      <c r="L60" s="1" t="s">
        <v>142</v>
      </c>
      <c r="M60" s="1" t="str">
        <f aca="false">_xlfn.TEXTJOIN( ,0,O60,", ",N60, )</f>
        <v>30.4701404571533, -91.1634979248047</v>
      </c>
      <c r="N60" s="1" t="n">
        <v>-91.1634979248047</v>
      </c>
      <c r="O60" s="1" t="n">
        <v>30.4701404571533</v>
      </c>
      <c r="P60" s="1" t="s">
        <v>24</v>
      </c>
    </row>
    <row r="61" customFormat="false" ht="15" hidden="false" customHeight="false" outlineLevel="0" collapsed="false">
      <c r="A61" s="1" t="n">
        <v>60</v>
      </c>
      <c r="B61" s="1" t="n">
        <v>1</v>
      </c>
      <c r="C61" s="1" t="n">
        <v>2181</v>
      </c>
      <c r="D61" s="1" t="n">
        <v>1</v>
      </c>
      <c r="E61" s="1" t="s">
        <v>143</v>
      </c>
      <c r="F61" s="1" t="s">
        <v>16</v>
      </c>
      <c r="H61" s="1" t="n">
        <v>0</v>
      </c>
      <c r="I61" s="1" t="s">
        <v>16</v>
      </c>
      <c r="L61" s="1" t="s">
        <v>144</v>
      </c>
      <c r="M61" s="1" t="str">
        <f aca="false">_xlfn.TEXTJOIN( ,0,O61,", ",N61, )</f>
        <v>30.4349899291992, -91.185546875</v>
      </c>
      <c r="N61" s="1" t="n">
        <v>-91.185546875</v>
      </c>
      <c r="O61" s="1" t="n">
        <v>30.4349899291992</v>
      </c>
      <c r="P61" s="1" t="s">
        <v>24</v>
      </c>
    </row>
    <row r="62" customFormat="false" ht="15" hidden="false" customHeight="false" outlineLevel="0" collapsed="false">
      <c r="A62" s="1" t="n">
        <v>61</v>
      </c>
      <c r="B62" s="1" t="n">
        <v>1</v>
      </c>
      <c r="C62" s="1" t="n">
        <v>2182</v>
      </c>
      <c r="D62" s="1" t="n">
        <v>1</v>
      </c>
      <c r="E62" s="1" t="s">
        <v>145</v>
      </c>
      <c r="F62" s="1" t="s">
        <v>16</v>
      </c>
      <c r="H62" s="1" t="n">
        <v>0</v>
      </c>
      <c r="I62" s="1" t="s">
        <v>16</v>
      </c>
      <c r="L62" s="1" t="s">
        <v>146</v>
      </c>
      <c r="M62" s="1" t="str">
        <f aca="false">_xlfn.TEXTJOIN( ,0,O62,", ",N62, )</f>
        <v>30.4321403503418, -91.1797637939453</v>
      </c>
      <c r="N62" s="1" t="n">
        <v>-91.1797637939453</v>
      </c>
      <c r="O62" s="1" t="n">
        <v>30.4321403503418</v>
      </c>
      <c r="P62" s="1" t="s">
        <v>24</v>
      </c>
    </row>
    <row r="63" customFormat="false" ht="15" hidden="false" customHeight="false" outlineLevel="0" collapsed="false">
      <c r="A63" s="1" t="n">
        <v>62</v>
      </c>
      <c r="B63" s="1" t="n">
        <v>1</v>
      </c>
      <c r="C63" s="1" t="n">
        <v>2183</v>
      </c>
      <c r="D63" s="1" t="n">
        <v>1</v>
      </c>
      <c r="E63" s="1" t="s">
        <v>147</v>
      </c>
      <c r="F63" s="1" t="s">
        <v>16</v>
      </c>
      <c r="H63" s="1" t="n">
        <v>0</v>
      </c>
      <c r="I63" s="1" t="s">
        <v>16</v>
      </c>
      <c r="L63" s="1" t="s">
        <v>148</v>
      </c>
      <c r="M63" s="1" t="str">
        <f aca="false">_xlfn.TEXTJOIN( ,0,O63,", ",N63, )</f>
        <v>30.4307594299316, -91.1776885986328</v>
      </c>
      <c r="N63" s="1" t="n">
        <v>-91.1776885986328</v>
      </c>
      <c r="O63" s="1" t="n">
        <v>30.4307594299316</v>
      </c>
      <c r="P63" s="1" t="s">
        <v>24</v>
      </c>
    </row>
    <row r="64" customFormat="false" ht="15" hidden="false" customHeight="false" outlineLevel="0" collapsed="false">
      <c r="A64" s="1" t="n">
        <v>63</v>
      </c>
      <c r="B64" s="1" t="n">
        <v>1</v>
      </c>
      <c r="C64" s="1" t="n">
        <v>2184</v>
      </c>
      <c r="D64" s="1" t="n">
        <v>1</v>
      </c>
      <c r="E64" s="1" t="s">
        <v>149</v>
      </c>
      <c r="F64" s="1" t="s">
        <v>16</v>
      </c>
      <c r="H64" s="1" t="n">
        <v>0</v>
      </c>
      <c r="I64" s="1" t="s">
        <v>16</v>
      </c>
      <c r="L64" s="1" t="s">
        <v>150</v>
      </c>
      <c r="M64" s="1" t="str">
        <f aca="false">_xlfn.TEXTJOIN( ,0,O64,", ",N64, )</f>
        <v>30.4351501464844, -91.1817016601563</v>
      </c>
      <c r="N64" s="1" t="n">
        <v>-91.1817016601563</v>
      </c>
      <c r="O64" s="1" t="n">
        <v>30.4351501464844</v>
      </c>
      <c r="P64" s="1" t="s">
        <v>24</v>
      </c>
    </row>
    <row r="65" customFormat="false" ht="15" hidden="false" customHeight="false" outlineLevel="0" collapsed="false">
      <c r="A65" s="1" t="n">
        <v>64</v>
      </c>
      <c r="B65" s="1" t="n">
        <v>1</v>
      </c>
      <c r="C65" s="1" t="n">
        <v>2185</v>
      </c>
      <c r="D65" s="1" t="n">
        <v>1</v>
      </c>
      <c r="E65" s="1" t="s">
        <v>151</v>
      </c>
      <c r="F65" s="1" t="s">
        <v>16</v>
      </c>
      <c r="H65" s="1" t="n">
        <v>0</v>
      </c>
      <c r="I65" s="1" t="s">
        <v>16</v>
      </c>
      <c r="L65" s="1" t="s">
        <v>152</v>
      </c>
      <c r="M65" s="1" t="str">
        <f aca="false">_xlfn.TEXTJOIN( ,0,O65,", ",N65, )</f>
        <v>30.4322700500488, -91.1832885742188</v>
      </c>
      <c r="N65" s="1" t="n">
        <v>-91.1832885742188</v>
      </c>
      <c r="O65" s="1" t="n">
        <v>30.4322700500488</v>
      </c>
      <c r="P65" s="1" t="s">
        <v>24</v>
      </c>
    </row>
    <row r="66" customFormat="false" ht="15" hidden="false" customHeight="false" outlineLevel="0" collapsed="false">
      <c r="A66" s="1" t="n">
        <v>65</v>
      </c>
      <c r="B66" s="1" t="n">
        <v>1</v>
      </c>
      <c r="C66" s="1" t="n">
        <v>2186</v>
      </c>
      <c r="D66" s="1" t="n">
        <v>1</v>
      </c>
      <c r="E66" s="1" t="s">
        <v>153</v>
      </c>
      <c r="F66" s="1" t="s">
        <v>16</v>
      </c>
      <c r="H66" s="1" t="n">
        <v>0</v>
      </c>
      <c r="I66" s="1" t="s">
        <v>16</v>
      </c>
      <c r="L66" s="1" t="s">
        <v>154</v>
      </c>
      <c r="M66" s="1" t="str">
        <f aca="false">_xlfn.TEXTJOIN( ,0,O66,", ",N66, )</f>
        <v>30.4301490783691, -91.1814270019531</v>
      </c>
      <c r="N66" s="1" t="n">
        <v>-91.1814270019531</v>
      </c>
      <c r="O66" s="1" t="n">
        <v>30.4301490783691</v>
      </c>
      <c r="P66" s="1" t="s">
        <v>24</v>
      </c>
    </row>
    <row r="67" customFormat="false" ht="15" hidden="false" customHeight="false" outlineLevel="0" collapsed="false">
      <c r="A67" s="1" t="n">
        <v>66</v>
      </c>
      <c r="B67" s="1" t="n">
        <v>1</v>
      </c>
      <c r="C67" s="1" t="n">
        <v>2187</v>
      </c>
      <c r="D67" s="1" t="n">
        <v>1</v>
      </c>
      <c r="E67" s="1" t="s">
        <v>155</v>
      </c>
      <c r="F67" s="1" t="s">
        <v>16</v>
      </c>
      <c r="H67" s="1" t="n">
        <v>0</v>
      </c>
      <c r="I67" s="1" t="s">
        <v>16</v>
      </c>
      <c r="L67" s="1" t="s">
        <v>156</v>
      </c>
      <c r="M67" s="1" t="str">
        <f aca="false">_xlfn.TEXTJOIN( ,0,O67,", ",N67, )</f>
        <v>30.4512100219727, -91.1636505126953</v>
      </c>
      <c r="N67" s="1" t="n">
        <v>-91.1636505126953</v>
      </c>
      <c r="O67" s="1" t="n">
        <v>30.4512100219727</v>
      </c>
      <c r="P67" s="1" t="s">
        <v>24</v>
      </c>
    </row>
    <row r="68" customFormat="false" ht="15" hidden="false" customHeight="false" outlineLevel="0" collapsed="false">
      <c r="A68" s="1" t="n">
        <v>67</v>
      </c>
      <c r="B68" s="1" t="n">
        <v>1</v>
      </c>
      <c r="C68" s="1" t="n">
        <v>2188</v>
      </c>
      <c r="D68" s="1" t="n">
        <v>1</v>
      </c>
      <c r="E68" s="1" t="s">
        <v>157</v>
      </c>
      <c r="F68" s="1" t="s">
        <v>16</v>
      </c>
      <c r="H68" s="1" t="n">
        <v>0</v>
      </c>
      <c r="I68" s="1" t="s">
        <v>16</v>
      </c>
      <c r="L68" s="1" t="s">
        <v>158</v>
      </c>
      <c r="M68" s="1" t="str">
        <f aca="false">_xlfn.TEXTJOIN( ,0,O68,", ",N68, )</f>
        <v>30.4516048431397, -91.1625747680664</v>
      </c>
      <c r="N68" s="1" t="n">
        <v>-91.1625747680664</v>
      </c>
      <c r="O68" s="1" t="n">
        <v>30.4516048431397</v>
      </c>
      <c r="P68" s="1" t="s">
        <v>24</v>
      </c>
    </row>
    <row r="69" customFormat="false" ht="15" hidden="false" customHeight="false" outlineLevel="0" collapsed="false">
      <c r="A69" s="1" t="n">
        <v>68</v>
      </c>
      <c r="B69" s="1" t="n">
        <v>1</v>
      </c>
      <c r="C69" s="1" t="n">
        <v>2189</v>
      </c>
      <c r="D69" s="1" t="n">
        <v>1</v>
      </c>
      <c r="E69" s="1" t="s">
        <v>159</v>
      </c>
      <c r="F69" s="1" t="s">
        <v>16</v>
      </c>
      <c r="H69" s="1" t="n">
        <v>0</v>
      </c>
      <c r="I69" s="1" t="s">
        <v>16</v>
      </c>
      <c r="L69" s="1" t="s">
        <v>23</v>
      </c>
      <c r="M69" s="1" t="str">
        <f aca="false">_xlfn.TEXTJOIN( ,0,O69,", ",N69, )</f>
        <v>30.4433307647705, -91.1874771118164</v>
      </c>
      <c r="N69" s="1" t="n">
        <v>-91.1874771118164</v>
      </c>
      <c r="O69" s="1" t="n">
        <v>30.4433307647705</v>
      </c>
      <c r="P69" s="1" t="s">
        <v>24</v>
      </c>
    </row>
    <row r="70" customFormat="false" ht="15" hidden="false" customHeight="false" outlineLevel="0" collapsed="false">
      <c r="A70" s="1" t="n">
        <v>69</v>
      </c>
      <c r="B70" s="1" t="n">
        <v>1</v>
      </c>
      <c r="C70" s="1" t="n">
        <v>2190</v>
      </c>
      <c r="D70" s="1" t="n">
        <v>1</v>
      </c>
      <c r="E70" s="1" t="s">
        <v>160</v>
      </c>
      <c r="F70" s="1" t="s">
        <v>16</v>
      </c>
      <c r="H70" s="1" t="n">
        <v>0</v>
      </c>
      <c r="I70" s="1" t="s">
        <v>16</v>
      </c>
      <c r="L70" s="1" t="s">
        <v>23</v>
      </c>
      <c r="M70" s="1" t="str">
        <f aca="false">_xlfn.TEXTJOIN( ,0,O70,", ",N70, )</f>
        <v>30.4433307647705, -91.1874771118164</v>
      </c>
      <c r="N70" s="1" t="n">
        <v>-91.1874771118164</v>
      </c>
      <c r="O70" s="1" t="n">
        <v>30.4433307647705</v>
      </c>
      <c r="P70" s="1" t="s">
        <v>24</v>
      </c>
    </row>
    <row r="71" customFormat="false" ht="15" hidden="false" customHeight="false" outlineLevel="0" collapsed="false">
      <c r="A71" s="1" t="n">
        <v>70</v>
      </c>
      <c r="B71" s="1" t="n">
        <v>1</v>
      </c>
      <c r="C71" s="1" t="n">
        <v>2191</v>
      </c>
      <c r="D71" s="1" t="n">
        <v>1</v>
      </c>
      <c r="E71" s="1" t="s">
        <v>161</v>
      </c>
      <c r="F71" s="1" t="s">
        <v>16</v>
      </c>
      <c r="H71" s="1" t="n">
        <v>0</v>
      </c>
      <c r="I71" s="1" t="s">
        <v>16</v>
      </c>
      <c r="L71" s="1" t="s">
        <v>23</v>
      </c>
      <c r="M71" s="1" t="str">
        <f aca="false">_xlfn.TEXTJOIN( ,0,O71,", ",N71, )</f>
        <v>30.4433307647705, -91.1874771118164</v>
      </c>
      <c r="N71" s="1" t="n">
        <v>-91.1874771118164</v>
      </c>
      <c r="O71" s="1" t="n">
        <v>30.4433307647705</v>
      </c>
      <c r="P71" s="1" t="s">
        <v>24</v>
      </c>
    </row>
    <row r="72" customFormat="false" ht="15" hidden="false" customHeight="false" outlineLevel="0" collapsed="false">
      <c r="A72" s="1" t="n">
        <v>71</v>
      </c>
      <c r="B72" s="1" t="n">
        <v>1</v>
      </c>
      <c r="C72" s="1" t="n">
        <v>2192</v>
      </c>
      <c r="D72" s="1" t="n">
        <v>1</v>
      </c>
      <c r="E72" s="1" t="s">
        <v>162</v>
      </c>
      <c r="F72" s="1" t="s">
        <v>163</v>
      </c>
      <c r="H72" s="1" t="s">
        <v>37</v>
      </c>
      <c r="I72" s="1" t="s">
        <v>164</v>
      </c>
      <c r="L72" s="1" t="s">
        <v>165</v>
      </c>
      <c r="M72" s="1" t="str">
        <f aca="false">_xlfn.TEXTJOIN( ,0,O72,", ",N72, )</f>
        <v>30.4409770965576, -91.1886672973633</v>
      </c>
      <c r="N72" s="1" t="n">
        <v>-91.1886672973633</v>
      </c>
      <c r="O72" s="1" t="n">
        <v>30.4409770965576</v>
      </c>
      <c r="P72" s="1" t="s">
        <v>24</v>
      </c>
    </row>
    <row r="73" customFormat="false" ht="15" hidden="false" customHeight="false" outlineLevel="0" collapsed="false">
      <c r="A73" s="1" t="n">
        <v>72</v>
      </c>
      <c r="B73" s="1" t="n">
        <v>1</v>
      </c>
      <c r="C73" s="1" t="n">
        <v>2193</v>
      </c>
      <c r="D73" s="1" t="n">
        <v>1</v>
      </c>
      <c r="E73" s="1" t="s">
        <v>166</v>
      </c>
      <c r="F73" s="1" t="s">
        <v>16</v>
      </c>
      <c r="H73" s="1" t="n">
        <v>0</v>
      </c>
      <c r="I73" s="1" t="s">
        <v>16</v>
      </c>
      <c r="L73" s="1" t="s">
        <v>23</v>
      </c>
      <c r="M73" s="1" t="str">
        <f aca="false">_xlfn.TEXTJOIN( ,0,O73,", ",N73, )</f>
        <v>30.4433307647705, -91.1874771118164</v>
      </c>
      <c r="N73" s="1" t="n">
        <v>-91.1874771118164</v>
      </c>
      <c r="O73" s="1" t="n">
        <v>30.4433307647705</v>
      </c>
      <c r="P73" s="1" t="s">
        <v>24</v>
      </c>
    </row>
    <row r="74" customFormat="false" ht="15" hidden="false" customHeight="false" outlineLevel="0" collapsed="false">
      <c r="A74" s="1" t="n">
        <v>73</v>
      </c>
      <c r="B74" s="1" t="n">
        <v>1</v>
      </c>
      <c r="C74" s="1" t="n">
        <v>2194</v>
      </c>
      <c r="D74" s="1" t="n">
        <v>1</v>
      </c>
      <c r="E74" s="1" t="s">
        <v>167</v>
      </c>
      <c r="F74" s="1" t="s">
        <v>16</v>
      </c>
      <c r="H74" s="1" t="n">
        <v>0</v>
      </c>
      <c r="I74" s="1" t="s">
        <v>16</v>
      </c>
      <c r="L74" s="1" t="s">
        <v>168</v>
      </c>
      <c r="M74" s="1" t="str">
        <f aca="false">_xlfn.TEXTJOIN( ,0,O74,", ",N74, )</f>
        <v>30.4218597412109, -91.1953887939453</v>
      </c>
      <c r="N74" s="1" t="n">
        <v>-91.1953887939453</v>
      </c>
      <c r="O74" s="1" t="n">
        <v>30.4218597412109</v>
      </c>
      <c r="P74" s="1" t="s">
        <v>24</v>
      </c>
    </row>
    <row r="75" customFormat="false" ht="15" hidden="false" customHeight="false" outlineLevel="0" collapsed="false">
      <c r="A75" s="1" t="n">
        <v>74</v>
      </c>
      <c r="B75" s="1" t="n">
        <v>1</v>
      </c>
      <c r="C75" s="1" t="n">
        <v>2195</v>
      </c>
      <c r="D75" s="1" t="n">
        <v>1</v>
      </c>
      <c r="E75" s="1" t="s">
        <v>169</v>
      </c>
      <c r="F75" s="1" t="s">
        <v>170</v>
      </c>
      <c r="G75" s="1" t="s">
        <v>171</v>
      </c>
      <c r="H75" s="1" t="s">
        <v>37</v>
      </c>
      <c r="L75" s="1" t="s">
        <v>172</v>
      </c>
      <c r="M75" s="1" t="str">
        <f aca="false">_xlfn.TEXTJOIN( ,0,O75,", ",N75, )</f>
        <v>30.5783596038818, -91.2153167724609</v>
      </c>
      <c r="N75" s="1" t="n">
        <v>-91.2153167724609</v>
      </c>
      <c r="O75" s="1" t="n">
        <v>30.5783596038818</v>
      </c>
      <c r="P75" s="1" t="s">
        <v>24</v>
      </c>
    </row>
    <row r="76" customFormat="false" ht="15" hidden="false" customHeight="false" outlineLevel="0" collapsed="false">
      <c r="A76" s="1" t="n">
        <v>75</v>
      </c>
      <c r="B76" s="1" t="n">
        <v>1</v>
      </c>
      <c r="C76" s="1" t="n">
        <v>2196</v>
      </c>
      <c r="D76" s="1" t="n">
        <v>1</v>
      </c>
      <c r="E76" s="1" t="s">
        <v>173</v>
      </c>
      <c r="F76" s="1" t="s">
        <v>16</v>
      </c>
      <c r="H76" s="1" t="n">
        <v>0</v>
      </c>
      <c r="I76" s="1" t="s">
        <v>16</v>
      </c>
      <c r="L76" s="1" t="s">
        <v>174</v>
      </c>
      <c r="M76" s="1" t="str">
        <f aca="false">_xlfn.TEXTJOIN( ,0,O76,", ",N76, )</f>
        <v>30.5675506591797, -91.2063674926758</v>
      </c>
      <c r="N76" s="1" t="n">
        <v>-91.2063674926758</v>
      </c>
      <c r="O76" s="1" t="n">
        <v>30.5675506591797</v>
      </c>
      <c r="P76" s="1" t="s">
        <v>24</v>
      </c>
    </row>
    <row r="77" customFormat="false" ht="15" hidden="false" customHeight="false" outlineLevel="0" collapsed="false">
      <c r="A77" s="1" t="n">
        <v>76</v>
      </c>
      <c r="B77" s="1" t="n">
        <v>1</v>
      </c>
      <c r="C77" s="1" t="n">
        <v>2197</v>
      </c>
      <c r="D77" s="1" t="n">
        <v>1</v>
      </c>
      <c r="E77" s="1" t="s">
        <v>175</v>
      </c>
      <c r="F77" s="1" t="s">
        <v>176</v>
      </c>
      <c r="H77" s="1" t="s">
        <v>37</v>
      </c>
      <c r="L77" s="1" t="s">
        <v>177</v>
      </c>
      <c r="M77" s="1" t="str">
        <f aca="false">_xlfn.TEXTJOIN( ,0,O77,", ",N77, )</f>
        <v>30.3530197143555, -91.0205993652344</v>
      </c>
      <c r="N77" s="1" t="n">
        <v>-91.0205993652344</v>
      </c>
      <c r="O77" s="1" t="n">
        <v>30.3530197143555</v>
      </c>
      <c r="P77" s="1" t="s">
        <v>24</v>
      </c>
    </row>
    <row r="78" customFormat="false" ht="15" hidden="false" customHeight="false" outlineLevel="0" collapsed="false">
      <c r="A78" s="1" t="n">
        <v>77</v>
      </c>
      <c r="B78" s="1" t="n">
        <v>1</v>
      </c>
      <c r="C78" s="1" t="n">
        <v>2198</v>
      </c>
      <c r="D78" s="1" t="n">
        <v>1</v>
      </c>
      <c r="E78" s="1" t="s">
        <v>178</v>
      </c>
      <c r="F78" s="1" t="s">
        <v>176</v>
      </c>
      <c r="H78" s="1" t="s">
        <v>37</v>
      </c>
      <c r="L78" s="1" t="s">
        <v>179</v>
      </c>
      <c r="M78" s="1" t="str">
        <f aca="false">_xlfn.TEXTJOIN( ,0,O78,", ",N78, )</f>
        <v>30.471715927124, -91.0182189941406</v>
      </c>
      <c r="N78" s="1" t="n">
        <v>-91.0182189941406</v>
      </c>
      <c r="O78" s="1" t="n">
        <v>30.471715927124</v>
      </c>
      <c r="P78" s="1" t="s">
        <v>24</v>
      </c>
    </row>
    <row r="79" customFormat="false" ht="15" hidden="false" customHeight="false" outlineLevel="0" collapsed="false">
      <c r="A79" s="1" t="n">
        <v>78</v>
      </c>
      <c r="B79" s="1" t="n">
        <v>1</v>
      </c>
      <c r="C79" s="1" t="n">
        <v>2199</v>
      </c>
      <c r="D79" s="1" t="n">
        <v>1</v>
      </c>
      <c r="E79" s="1" t="s">
        <v>180</v>
      </c>
      <c r="F79" s="1" t="s">
        <v>54</v>
      </c>
      <c r="H79" s="1" t="n">
        <v>0</v>
      </c>
      <c r="I79" s="1" t="s">
        <v>16</v>
      </c>
      <c r="L79" s="1" t="s">
        <v>179</v>
      </c>
      <c r="M79" s="1" t="str">
        <f aca="false">_xlfn.TEXTJOIN( ,0,O79,", ",N79, )</f>
        <v>30.471715927124, -91.0182189941406</v>
      </c>
      <c r="N79" s="1" t="n">
        <v>-91.0182189941406</v>
      </c>
      <c r="O79" s="1" t="n">
        <v>30.471715927124</v>
      </c>
      <c r="P79" s="1" t="s">
        <v>24</v>
      </c>
    </row>
    <row r="80" customFormat="false" ht="15" hidden="false" customHeight="false" outlineLevel="0" collapsed="false">
      <c r="A80" s="1" t="n">
        <v>79</v>
      </c>
      <c r="B80" s="1" t="n">
        <v>1</v>
      </c>
      <c r="C80" s="1" t="n">
        <v>2200</v>
      </c>
      <c r="D80" s="1" t="n">
        <v>1</v>
      </c>
      <c r="E80" s="1" t="s">
        <v>181</v>
      </c>
      <c r="F80" s="1" t="s">
        <v>16</v>
      </c>
      <c r="H80" s="1" t="n">
        <v>0</v>
      </c>
      <c r="I80" s="1" t="s">
        <v>16</v>
      </c>
      <c r="L80" s="1" t="s">
        <v>182</v>
      </c>
      <c r="M80" s="1" t="str">
        <f aca="false">_xlfn.TEXTJOIN( ,0,O80,", ",N80, )</f>
        <v>30.3794536590576, -91.2018432617188</v>
      </c>
      <c r="N80" s="1" t="n">
        <v>-91.2018432617188</v>
      </c>
      <c r="O80" s="1" t="n">
        <v>30.3794536590576</v>
      </c>
      <c r="P80" s="1" t="s">
        <v>24</v>
      </c>
    </row>
    <row r="81" customFormat="false" ht="15" hidden="false" customHeight="false" outlineLevel="0" collapsed="false">
      <c r="A81" s="1" t="n">
        <v>80</v>
      </c>
      <c r="B81" s="1" t="n">
        <v>1</v>
      </c>
      <c r="C81" s="1" t="n">
        <v>2201</v>
      </c>
      <c r="D81" s="1" t="n">
        <v>1</v>
      </c>
      <c r="E81" s="1" t="s">
        <v>183</v>
      </c>
      <c r="F81" s="1" t="s">
        <v>16</v>
      </c>
      <c r="H81" s="1" t="n">
        <v>0</v>
      </c>
      <c r="I81" s="1" t="s">
        <v>16</v>
      </c>
      <c r="L81" s="1" t="s">
        <v>184</v>
      </c>
      <c r="M81" s="1" t="str">
        <f aca="false">_xlfn.TEXTJOIN( ,0,O81,", ",N81, )</f>
        <v>30.5025596618652, -91.1313323974609</v>
      </c>
      <c r="N81" s="1" t="n">
        <v>-91.1313323974609</v>
      </c>
      <c r="O81" s="1" t="n">
        <v>30.5025596618652</v>
      </c>
      <c r="P81" s="1" t="s">
        <v>24</v>
      </c>
    </row>
    <row r="82" customFormat="false" ht="15" hidden="false" customHeight="false" outlineLevel="0" collapsed="false">
      <c r="A82" s="1" t="n">
        <v>81</v>
      </c>
      <c r="B82" s="1" t="n">
        <v>1</v>
      </c>
      <c r="C82" s="1" t="n">
        <v>2202</v>
      </c>
      <c r="D82" s="1" t="n">
        <v>1</v>
      </c>
      <c r="E82" s="1" t="s">
        <v>185</v>
      </c>
      <c r="F82" s="1" t="s">
        <v>16</v>
      </c>
      <c r="H82" s="1" t="n">
        <v>0</v>
      </c>
      <c r="I82" s="1" t="s">
        <v>16</v>
      </c>
      <c r="L82" s="1" t="s">
        <v>186</v>
      </c>
      <c r="M82" s="1" t="str">
        <f aca="false">_xlfn.TEXTJOIN( ,0,O82,", ",N82, )</f>
        <v>30.4705200195313, -91.1633605957031</v>
      </c>
      <c r="N82" s="1" t="n">
        <v>-91.1633605957031</v>
      </c>
      <c r="O82" s="1" t="n">
        <v>30.4705200195313</v>
      </c>
      <c r="P82" s="1" t="s">
        <v>24</v>
      </c>
    </row>
    <row r="83" customFormat="false" ht="15" hidden="false" customHeight="false" outlineLevel="0" collapsed="false">
      <c r="A83" s="1" t="n">
        <v>82</v>
      </c>
      <c r="B83" s="1" t="n">
        <v>1</v>
      </c>
      <c r="C83" s="1" t="n">
        <v>2203</v>
      </c>
      <c r="D83" s="1" t="n">
        <v>1</v>
      </c>
      <c r="E83" s="1" t="s">
        <v>187</v>
      </c>
      <c r="F83" s="1" t="s">
        <v>16</v>
      </c>
      <c r="H83" s="1" t="n">
        <v>0</v>
      </c>
      <c r="I83" s="1" t="s">
        <v>16</v>
      </c>
      <c r="L83" s="1" t="s">
        <v>188</v>
      </c>
      <c r="M83" s="1" t="str">
        <f aca="false">_xlfn.TEXTJOIN( ,0,O83,", ",N83, )</f>
        <v>30.4517345428467, -91.1128921508789</v>
      </c>
      <c r="N83" s="1" t="n">
        <v>-91.1128921508789</v>
      </c>
      <c r="O83" s="1" t="n">
        <v>30.4517345428467</v>
      </c>
      <c r="P83" s="1" t="s">
        <v>24</v>
      </c>
    </row>
    <row r="84" customFormat="false" ht="15" hidden="false" customHeight="false" outlineLevel="0" collapsed="false">
      <c r="A84" s="1" t="n">
        <v>83</v>
      </c>
      <c r="B84" s="1" t="n">
        <v>1</v>
      </c>
      <c r="C84" s="1" t="n">
        <v>2204</v>
      </c>
      <c r="D84" s="1" t="n">
        <v>1</v>
      </c>
      <c r="E84" s="1" t="s">
        <v>189</v>
      </c>
      <c r="F84" s="1" t="s">
        <v>16</v>
      </c>
      <c r="H84" s="1" t="n">
        <v>0</v>
      </c>
      <c r="I84" s="1" t="s">
        <v>16</v>
      </c>
      <c r="L84" s="1" t="s">
        <v>190</v>
      </c>
      <c r="M84" s="1" t="str">
        <f aca="false">_xlfn.TEXTJOIN( ,0,O84,", ",N84, )</f>
        <v>30.3934097290039, -91.1591491699219</v>
      </c>
      <c r="N84" s="1" t="n">
        <v>-91.1591491699219</v>
      </c>
      <c r="O84" s="1" t="n">
        <v>30.3934097290039</v>
      </c>
      <c r="P84" s="1" t="s">
        <v>24</v>
      </c>
    </row>
    <row r="85" customFormat="false" ht="15" hidden="false" customHeight="false" outlineLevel="0" collapsed="false">
      <c r="A85" s="1" t="n">
        <v>84</v>
      </c>
      <c r="B85" s="1" t="n">
        <v>1</v>
      </c>
      <c r="C85" s="1" t="n">
        <v>2205</v>
      </c>
      <c r="D85" s="1" t="n">
        <v>1</v>
      </c>
      <c r="E85" s="1" t="s">
        <v>191</v>
      </c>
      <c r="F85" s="1" t="s">
        <v>16</v>
      </c>
      <c r="H85" s="1" t="n">
        <v>0</v>
      </c>
      <c r="I85" s="1" t="s">
        <v>16</v>
      </c>
      <c r="L85" s="1" t="s">
        <v>192</v>
      </c>
      <c r="M85" s="1" t="str">
        <f aca="false">_xlfn.TEXTJOIN( ,0,O85,", ",N85, )</f>
        <v>30.3841819763184, -91.0410614013672</v>
      </c>
      <c r="N85" s="1" t="n">
        <v>-91.0410614013672</v>
      </c>
      <c r="O85" s="1" t="n">
        <v>30.3841819763184</v>
      </c>
      <c r="P85" s="1" t="s">
        <v>24</v>
      </c>
    </row>
    <row r="86" customFormat="false" ht="15" hidden="false" customHeight="false" outlineLevel="0" collapsed="false">
      <c r="A86" s="1" t="n">
        <v>85</v>
      </c>
      <c r="B86" s="1" t="n">
        <v>1</v>
      </c>
      <c r="C86" s="1" t="n">
        <v>2206</v>
      </c>
      <c r="D86" s="1" t="n">
        <v>1</v>
      </c>
      <c r="E86" s="1" t="s">
        <v>193</v>
      </c>
      <c r="F86" s="1" t="s">
        <v>16</v>
      </c>
      <c r="H86" s="1" t="n">
        <v>0</v>
      </c>
      <c r="I86" s="1" t="s">
        <v>16</v>
      </c>
      <c r="L86" s="1" t="s">
        <v>194</v>
      </c>
      <c r="M86" s="1" t="str">
        <f aca="false">_xlfn.TEXTJOIN( ,0,O86,", ",N86, )</f>
        <v>30.4723796844482, -91.0602188110352</v>
      </c>
      <c r="N86" s="1" t="n">
        <v>-91.0602188110352</v>
      </c>
      <c r="O86" s="1" t="n">
        <v>30.4723796844482</v>
      </c>
      <c r="P86" s="1" t="s">
        <v>24</v>
      </c>
    </row>
    <row r="87" customFormat="false" ht="15" hidden="false" customHeight="false" outlineLevel="0" collapsed="false">
      <c r="A87" s="1" t="n">
        <v>86</v>
      </c>
      <c r="B87" s="1" t="n">
        <v>1</v>
      </c>
      <c r="C87" s="1" t="n">
        <v>2207</v>
      </c>
      <c r="D87" s="1" t="n">
        <v>1</v>
      </c>
      <c r="E87" s="1" t="s">
        <v>195</v>
      </c>
      <c r="F87" s="1" t="s">
        <v>16</v>
      </c>
      <c r="H87" s="1" t="n">
        <v>0</v>
      </c>
      <c r="I87" s="1" t="s">
        <v>16</v>
      </c>
      <c r="L87" s="1" t="s">
        <v>23</v>
      </c>
      <c r="M87" s="1" t="str">
        <f aca="false">_xlfn.TEXTJOIN( ,0,O87,", ",N87, )</f>
        <v>30.4433307647705, -91.1874771118164</v>
      </c>
      <c r="N87" s="1" t="n">
        <v>-91.1874771118164</v>
      </c>
      <c r="O87" s="1" t="n">
        <v>30.4433307647705</v>
      </c>
      <c r="P87" s="1" t="s">
        <v>24</v>
      </c>
    </row>
    <row r="88" customFormat="false" ht="15" hidden="false" customHeight="false" outlineLevel="0" collapsed="false">
      <c r="A88" s="1" t="n">
        <v>87</v>
      </c>
      <c r="B88" s="1" t="n">
        <v>1</v>
      </c>
      <c r="C88" s="1" t="n">
        <v>2208</v>
      </c>
      <c r="D88" s="1" t="n">
        <v>1</v>
      </c>
      <c r="E88" s="1" t="s">
        <v>196</v>
      </c>
      <c r="F88" s="1" t="s">
        <v>197</v>
      </c>
      <c r="H88" s="1" t="n">
        <v>0</v>
      </c>
      <c r="I88" s="1" t="s">
        <v>16</v>
      </c>
      <c r="L88" s="1" t="s">
        <v>198</v>
      </c>
      <c r="M88" s="1" t="str">
        <f aca="false">_xlfn.TEXTJOIN( ,0,O88,", ",N88, )</f>
        <v>30.55419921875, -91.1991806030273</v>
      </c>
      <c r="N88" s="1" t="n">
        <v>-91.1991806030273</v>
      </c>
      <c r="O88" s="1" t="n">
        <v>30.55419921875</v>
      </c>
      <c r="P88" s="1" t="s">
        <v>24</v>
      </c>
    </row>
    <row r="89" customFormat="false" ht="15" hidden="false" customHeight="false" outlineLevel="0" collapsed="false">
      <c r="A89" s="1" t="n">
        <v>88</v>
      </c>
      <c r="B89" s="1" t="n">
        <v>1</v>
      </c>
      <c r="C89" s="1" t="n">
        <v>2209</v>
      </c>
      <c r="D89" s="1" t="n">
        <v>1</v>
      </c>
      <c r="E89" s="1" t="s">
        <v>199</v>
      </c>
      <c r="F89" s="1" t="s">
        <v>16</v>
      </c>
      <c r="H89" s="1" t="n">
        <v>0</v>
      </c>
      <c r="I89" s="1" t="s">
        <v>16</v>
      </c>
      <c r="L89" s="1" t="s">
        <v>23</v>
      </c>
      <c r="M89" s="1" t="str">
        <f aca="false">_xlfn.TEXTJOIN( ,0,O89,", ",N89, )</f>
        <v>30.4433307647705, -91.1874771118164</v>
      </c>
      <c r="N89" s="1" t="n">
        <v>-91.1874771118164</v>
      </c>
      <c r="O89" s="1" t="n">
        <v>30.4433307647705</v>
      </c>
      <c r="P89" s="1" t="s">
        <v>24</v>
      </c>
    </row>
    <row r="90" customFormat="false" ht="15" hidden="false" customHeight="false" outlineLevel="0" collapsed="false">
      <c r="A90" s="1" t="n">
        <v>89</v>
      </c>
      <c r="B90" s="1" t="n">
        <v>1</v>
      </c>
      <c r="C90" s="1" t="n">
        <v>2210</v>
      </c>
      <c r="D90" s="1" t="n">
        <v>1</v>
      </c>
      <c r="E90" s="1" t="s">
        <v>200</v>
      </c>
      <c r="F90" s="1" t="s">
        <v>201</v>
      </c>
      <c r="G90" s="1" t="s">
        <v>202</v>
      </c>
      <c r="H90" s="1" t="s">
        <v>37</v>
      </c>
      <c r="I90" s="1" t="s">
        <v>203</v>
      </c>
      <c r="L90" s="1" t="s">
        <v>204</v>
      </c>
      <c r="M90" s="1" t="str">
        <f aca="false">_xlfn.TEXTJOIN( ,0,O90,", ",N90, )</f>
        <v>30.4696006774902, -91.1760101318359</v>
      </c>
      <c r="N90" s="1" t="n">
        <v>-91.1760101318359</v>
      </c>
      <c r="O90" s="1" t="n">
        <v>30.4696006774902</v>
      </c>
      <c r="P90" s="1" t="s">
        <v>24</v>
      </c>
    </row>
    <row r="91" customFormat="false" ht="15" hidden="false" customHeight="false" outlineLevel="0" collapsed="false">
      <c r="A91" s="1" t="n">
        <v>90</v>
      </c>
      <c r="B91" s="1" t="n">
        <v>1</v>
      </c>
      <c r="C91" s="1" t="n">
        <v>2211</v>
      </c>
      <c r="D91" s="1" t="n">
        <v>1</v>
      </c>
      <c r="E91" s="1" t="s">
        <v>205</v>
      </c>
      <c r="F91" s="1" t="s">
        <v>16</v>
      </c>
      <c r="H91" s="1" t="n">
        <v>0</v>
      </c>
      <c r="I91" s="1" t="s">
        <v>16</v>
      </c>
      <c r="L91" s="1" t="s">
        <v>206</v>
      </c>
      <c r="M91" s="1" t="str">
        <f aca="false">_xlfn.TEXTJOIN( ,0,O91,", ",N91, )</f>
        <v>30.4444007873535, -91.144889831543</v>
      </c>
      <c r="N91" s="1" t="n">
        <v>-91.144889831543</v>
      </c>
      <c r="O91" s="1" t="n">
        <v>30.4444007873535</v>
      </c>
      <c r="P91" s="1" t="s">
        <v>24</v>
      </c>
    </row>
    <row r="92" customFormat="false" ht="15" hidden="false" customHeight="false" outlineLevel="0" collapsed="false">
      <c r="A92" s="1" t="n">
        <v>91</v>
      </c>
      <c r="B92" s="1" t="n">
        <v>1</v>
      </c>
      <c r="C92" s="1" t="n">
        <v>2212</v>
      </c>
      <c r="D92" s="1" t="n">
        <v>1</v>
      </c>
      <c r="E92" s="1" t="s">
        <v>207</v>
      </c>
      <c r="F92" s="1" t="s">
        <v>208</v>
      </c>
      <c r="G92" s="1" t="s">
        <v>209</v>
      </c>
      <c r="H92" s="1" t="n">
        <v>200000000</v>
      </c>
      <c r="I92" s="1" t="s">
        <v>210</v>
      </c>
      <c r="L92" s="1" t="s">
        <v>211</v>
      </c>
      <c r="M92" s="1" t="str">
        <f aca="false">_xlfn.TEXTJOIN( ,0,O92,", ",N92, )</f>
        <v>30.3486194610596, -91.1361236572266</v>
      </c>
      <c r="N92" s="1" t="n">
        <v>-91.1361236572266</v>
      </c>
      <c r="O92" s="1" t="n">
        <v>30.3486194610596</v>
      </c>
      <c r="P92" s="1" t="s">
        <v>24</v>
      </c>
    </row>
    <row r="93" customFormat="false" ht="15" hidden="false" customHeight="false" outlineLevel="0" collapsed="false">
      <c r="A93" s="1" t="n">
        <v>92</v>
      </c>
      <c r="B93" s="1" t="n">
        <v>1</v>
      </c>
      <c r="C93" s="1" t="n">
        <v>2213</v>
      </c>
      <c r="D93" s="1" t="n">
        <v>1</v>
      </c>
      <c r="E93" s="1" t="s">
        <v>212</v>
      </c>
      <c r="F93" s="1" t="s">
        <v>16</v>
      </c>
      <c r="H93" s="1" t="n">
        <v>0</v>
      </c>
      <c r="I93" s="1" t="s">
        <v>16</v>
      </c>
      <c r="L93" s="1" t="s">
        <v>213</v>
      </c>
      <c r="M93" s="1" t="str">
        <f aca="false">_xlfn.TEXTJOIN( ,0,O93,", ",N93, )</f>
        <v>30.5035591125488, -91.1321868896484</v>
      </c>
      <c r="N93" s="1" t="n">
        <v>-91.1321868896484</v>
      </c>
      <c r="O93" s="1" t="n">
        <v>30.5035591125488</v>
      </c>
      <c r="P93" s="1" t="s">
        <v>24</v>
      </c>
    </row>
    <row r="94" customFormat="false" ht="15" hidden="false" customHeight="false" outlineLevel="0" collapsed="false">
      <c r="A94" s="1" t="n">
        <v>93</v>
      </c>
      <c r="B94" s="1" t="n">
        <v>1</v>
      </c>
      <c r="C94" s="1" t="n">
        <v>2214</v>
      </c>
      <c r="D94" s="1" t="n">
        <v>1</v>
      </c>
      <c r="E94" s="1" t="s">
        <v>214</v>
      </c>
      <c r="F94" s="1" t="s">
        <v>16</v>
      </c>
      <c r="H94" s="1" t="n">
        <v>0</v>
      </c>
      <c r="I94" s="1" t="s">
        <v>16</v>
      </c>
      <c r="L94" s="1" t="s">
        <v>215</v>
      </c>
      <c r="M94" s="1" t="str">
        <f aca="false">_xlfn.TEXTJOIN( ,0,O94,", ",N94, )</f>
        <v>30.4348793029785, -91.1895904541016</v>
      </c>
      <c r="N94" s="1" t="n">
        <v>-91.1895904541016</v>
      </c>
      <c r="O94" s="1" t="n">
        <v>30.4348793029785</v>
      </c>
      <c r="P94" s="1" t="s">
        <v>24</v>
      </c>
    </row>
    <row r="95" customFormat="false" ht="15" hidden="false" customHeight="false" outlineLevel="0" collapsed="false">
      <c r="A95" s="1" t="n">
        <v>94</v>
      </c>
      <c r="B95" s="1" t="n">
        <v>1</v>
      </c>
      <c r="C95" s="1" t="n">
        <v>2215</v>
      </c>
      <c r="D95" s="1" t="n">
        <v>1</v>
      </c>
      <c r="E95" s="1" t="s">
        <v>216</v>
      </c>
      <c r="F95" s="1" t="s">
        <v>16</v>
      </c>
      <c r="H95" s="1" t="n">
        <v>0</v>
      </c>
      <c r="I95" s="1" t="s">
        <v>16</v>
      </c>
      <c r="L95" s="1" t="s">
        <v>217</v>
      </c>
      <c r="M95" s="1" t="str">
        <f aca="false">_xlfn.TEXTJOIN( ,0,O95,", ",N95, )</f>
        <v>30.4701690673828, -91.1559906005859</v>
      </c>
      <c r="N95" s="1" t="n">
        <v>-91.1559906005859</v>
      </c>
      <c r="O95" s="1" t="n">
        <v>30.4701690673828</v>
      </c>
      <c r="P95" s="1" t="s">
        <v>24</v>
      </c>
    </row>
    <row r="96" customFormat="false" ht="15" hidden="false" customHeight="false" outlineLevel="0" collapsed="false">
      <c r="A96" s="1" t="n">
        <v>95</v>
      </c>
      <c r="B96" s="1" t="n">
        <v>1</v>
      </c>
      <c r="C96" s="1" t="n">
        <v>2216</v>
      </c>
      <c r="D96" s="1" t="n">
        <v>1</v>
      </c>
      <c r="E96" s="1" t="s">
        <v>216</v>
      </c>
      <c r="F96" s="1" t="s">
        <v>16</v>
      </c>
      <c r="H96" s="1" t="n">
        <v>0</v>
      </c>
      <c r="I96" s="1" t="s">
        <v>16</v>
      </c>
      <c r="L96" s="1" t="s">
        <v>218</v>
      </c>
      <c r="M96" s="1" t="str">
        <f aca="false">_xlfn.TEXTJOIN( ,0,O96,", ",N96, )</f>
        <v>30.389799118042, -91.1914672851563</v>
      </c>
      <c r="N96" s="1" t="n">
        <v>-91.1914672851563</v>
      </c>
      <c r="O96" s="1" t="n">
        <v>30.389799118042</v>
      </c>
      <c r="P96" s="1" t="s">
        <v>24</v>
      </c>
    </row>
    <row r="97" customFormat="false" ht="15" hidden="false" customHeight="false" outlineLevel="0" collapsed="false">
      <c r="A97" s="1" t="n">
        <v>96</v>
      </c>
      <c r="B97" s="1" t="n">
        <v>1</v>
      </c>
      <c r="C97" s="1" t="n">
        <v>2217</v>
      </c>
      <c r="D97" s="1" t="n">
        <v>1</v>
      </c>
      <c r="E97" s="1" t="s">
        <v>219</v>
      </c>
      <c r="F97" s="1" t="s">
        <v>16</v>
      </c>
      <c r="H97" s="1" t="n">
        <v>0</v>
      </c>
      <c r="I97" s="1" t="s">
        <v>16</v>
      </c>
      <c r="L97" s="1" t="s">
        <v>220</v>
      </c>
      <c r="M97" s="1" t="str">
        <f aca="false">_xlfn.TEXTJOIN( ,0,O97,", ",N97, )</f>
        <v>30.4437103271484, -91.1726303100586</v>
      </c>
      <c r="N97" s="1" t="n">
        <v>-91.1726303100586</v>
      </c>
      <c r="O97" s="1" t="n">
        <v>30.4437103271484</v>
      </c>
      <c r="P97" s="1" t="s">
        <v>24</v>
      </c>
    </row>
    <row r="98" customFormat="false" ht="15" hidden="false" customHeight="false" outlineLevel="0" collapsed="false">
      <c r="A98" s="1" t="n">
        <v>97</v>
      </c>
      <c r="B98" s="1" t="n">
        <v>1</v>
      </c>
      <c r="C98" s="1" t="n">
        <v>2218</v>
      </c>
      <c r="D98" s="1" t="n">
        <v>1</v>
      </c>
      <c r="E98" s="1" t="s">
        <v>221</v>
      </c>
      <c r="F98" s="1" t="s">
        <v>222</v>
      </c>
      <c r="H98" s="1" t="s">
        <v>37</v>
      </c>
      <c r="L98" s="1" t="s">
        <v>223</v>
      </c>
      <c r="M98" s="1" t="str">
        <f aca="false">_xlfn.TEXTJOIN( ,0,O98,", ",N98, )</f>
        <v>30.509859085083, -91.1846466064453</v>
      </c>
      <c r="N98" s="1" t="n">
        <v>-91.1846466064453</v>
      </c>
      <c r="O98" s="1" t="n">
        <v>30.509859085083</v>
      </c>
      <c r="P98" s="1" t="s">
        <v>24</v>
      </c>
    </row>
    <row r="99" customFormat="false" ht="15" hidden="false" customHeight="false" outlineLevel="0" collapsed="false">
      <c r="A99" s="1" t="n">
        <v>98</v>
      </c>
      <c r="B99" s="1" t="n">
        <v>1</v>
      </c>
      <c r="C99" s="1" t="n">
        <v>2219</v>
      </c>
      <c r="D99" s="1" t="n">
        <v>1</v>
      </c>
      <c r="E99" s="1" t="s">
        <v>224</v>
      </c>
      <c r="F99" s="1" t="s">
        <v>16</v>
      </c>
      <c r="H99" s="1" t="n">
        <v>0</v>
      </c>
      <c r="I99" s="1" t="s">
        <v>16</v>
      </c>
      <c r="L99" s="1" t="s">
        <v>225</v>
      </c>
      <c r="M99" s="1" t="str">
        <f aca="false">_xlfn.TEXTJOIN( ,0,O99,", ",N99, )</f>
        <v>30.4999504089356, -91.0764923095703</v>
      </c>
      <c r="N99" s="1" t="n">
        <v>-91.0764923095703</v>
      </c>
      <c r="O99" s="1" t="n">
        <v>30.4999504089356</v>
      </c>
      <c r="P99" s="1" t="s">
        <v>24</v>
      </c>
    </row>
    <row r="100" customFormat="false" ht="15" hidden="false" customHeight="false" outlineLevel="0" collapsed="false">
      <c r="A100" s="1" t="n">
        <v>99</v>
      </c>
      <c r="B100" s="1" t="n">
        <v>1</v>
      </c>
      <c r="C100" s="1" t="n">
        <v>2220</v>
      </c>
      <c r="D100" s="1" t="n">
        <v>1</v>
      </c>
      <c r="E100" s="1" t="s">
        <v>226</v>
      </c>
      <c r="F100" s="1" t="s">
        <v>16</v>
      </c>
      <c r="H100" s="1" t="n">
        <v>0</v>
      </c>
      <c r="I100" s="1" t="s">
        <v>16</v>
      </c>
      <c r="L100" s="1" t="s">
        <v>23</v>
      </c>
      <c r="M100" s="1" t="str">
        <f aca="false">_xlfn.TEXTJOIN( ,0,O100,", ",N100, )</f>
        <v>30.4433307647705, -91.1874771118164</v>
      </c>
      <c r="N100" s="1" t="n">
        <v>-91.1874771118164</v>
      </c>
      <c r="O100" s="1" t="n">
        <v>30.4433307647705</v>
      </c>
      <c r="P100" s="1" t="s">
        <v>24</v>
      </c>
    </row>
    <row r="101" customFormat="false" ht="15" hidden="false" customHeight="false" outlineLevel="0" collapsed="false">
      <c r="A101" s="1" t="n">
        <v>100</v>
      </c>
      <c r="B101" s="1" t="n">
        <v>1</v>
      </c>
      <c r="C101" s="1" t="n">
        <v>2221</v>
      </c>
      <c r="D101" s="1" t="n">
        <v>1</v>
      </c>
      <c r="E101" s="1" t="s">
        <v>227</v>
      </c>
      <c r="F101" s="1" t="s">
        <v>228</v>
      </c>
      <c r="H101" s="1" t="n">
        <v>0</v>
      </c>
      <c r="I101" s="1" t="s">
        <v>229</v>
      </c>
      <c r="L101" s="1" t="s">
        <v>230</v>
      </c>
      <c r="M101" s="1" t="str">
        <f aca="false">_xlfn.TEXTJOIN( ,0,O101,", ",N101, )</f>
        <v>30.4916152954102, -91.1862258911133</v>
      </c>
      <c r="N101" s="1" t="n">
        <v>-91.1862258911133</v>
      </c>
      <c r="O101" s="1" t="n">
        <v>30.4916152954102</v>
      </c>
      <c r="P101" s="1" t="s">
        <v>24</v>
      </c>
    </row>
    <row r="102" customFormat="false" ht="15" hidden="false" customHeight="false" outlineLevel="0" collapsed="false">
      <c r="A102" s="1" t="n">
        <v>101</v>
      </c>
      <c r="B102" s="1" t="n">
        <v>1</v>
      </c>
      <c r="C102" s="1" t="n">
        <v>2222</v>
      </c>
      <c r="D102" s="1" t="n">
        <v>1</v>
      </c>
      <c r="E102" s="1" t="s">
        <v>231</v>
      </c>
      <c r="F102" s="1" t="s">
        <v>232</v>
      </c>
      <c r="G102" s="1" t="s">
        <v>233</v>
      </c>
      <c r="H102" s="1" t="n">
        <v>0</v>
      </c>
      <c r="I102" s="1" t="s">
        <v>16</v>
      </c>
      <c r="L102" s="1" t="s">
        <v>234</v>
      </c>
      <c r="M102" s="1" t="str">
        <f aca="false">_xlfn.TEXTJOIN( ,0,O102,", ",N102, )</f>
        <v>30.5510807037354, -91.2005996704102</v>
      </c>
      <c r="N102" s="1" t="n">
        <v>-91.2005996704102</v>
      </c>
      <c r="O102" s="1" t="n">
        <v>30.5510807037354</v>
      </c>
      <c r="P102" s="1" t="s">
        <v>24</v>
      </c>
    </row>
    <row r="103" customFormat="false" ht="15" hidden="false" customHeight="false" outlineLevel="0" collapsed="false">
      <c r="A103" s="1" t="n">
        <v>102</v>
      </c>
      <c r="B103" s="1" t="n">
        <v>1</v>
      </c>
      <c r="C103" s="1" t="n">
        <v>2223</v>
      </c>
      <c r="D103" s="1" t="n">
        <v>1</v>
      </c>
      <c r="E103" s="1" t="s">
        <v>235</v>
      </c>
      <c r="F103" s="1" t="s">
        <v>236</v>
      </c>
      <c r="G103" s="1" t="s">
        <v>237</v>
      </c>
      <c r="H103" s="1" t="s">
        <v>37</v>
      </c>
      <c r="L103" s="1" t="s">
        <v>238</v>
      </c>
      <c r="M103" s="1" t="str">
        <f aca="false">_xlfn.TEXTJOIN( ,0,O103,", ",N103, )</f>
        <v>30.4835586547852, -91.1834487915039</v>
      </c>
      <c r="N103" s="1" t="n">
        <v>-91.1834487915039</v>
      </c>
      <c r="O103" s="1" t="n">
        <v>30.4835586547852</v>
      </c>
      <c r="P103" s="1" t="s">
        <v>24</v>
      </c>
    </row>
    <row r="104" customFormat="false" ht="15" hidden="false" customHeight="false" outlineLevel="0" collapsed="false">
      <c r="A104" s="1" t="n">
        <v>103</v>
      </c>
      <c r="B104" s="1" t="n">
        <v>1</v>
      </c>
      <c r="C104" s="1" t="n">
        <v>2224</v>
      </c>
      <c r="D104" s="1" t="n">
        <v>1</v>
      </c>
      <c r="E104" s="1" t="s">
        <v>239</v>
      </c>
      <c r="F104" s="1" t="s">
        <v>240</v>
      </c>
      <c r="H104" s="1" t="n">
        <v>0</v>
      </c>
      <c r="I104" s="1" t="s">
        <v>16</v>
      </c>
      <c r="L104" s="1" t="s">
        <v>241</v>
      </c>
      <c r="M104" s="1" t="str">
        <f aca="false">_xlfn.TEXTJOIN( ,0,O104,", ",N104, )</f>
        <v>30.5861682891846, -91.2450256347656</v>
      </c>
      <c r="N104" s="1" t="n">
        <v>-91.2450256347656</v>
      </c>
      <c r="O104" s="1" t="n">
        <v>30.5861682891846</v>
      </c>
      <c r="P104" s="1" t="s">
        <v>24</v>
      </c>
    </row>
    <row r="105" customFormat="false" ht="15" hidden="false" customHeight="false" outlineLevel="0" collapsed="false">
      <c r="A105" s="1" t="n">
        <v>104</v>
      </c>
      <c r="B105" s="1" t="n">
        <v>1</v>
      </c>
      <c r="C105" s="1" t="n">
        <v>2225</v>
      </c>
      <c r="D105" s="1" t="n">
        <v>1</v>
      </c>
      <c r="E105" s="1" t="s">
        <v>242</v>
      </c>
      <c r="F105" s="1" t="s">
        <v>243</v>
      </c>
      <c r="H105" s="1" t="n">
        <v>0</v>
      </c>
      <c r="I105" s="1" t="s">
        <v>16</v>
      </c>
      <c r="L105" s="1" t="s">
        <v>244</v>
      </c>
      <c r="M105" s="1" t="str">
        <f aca="false">_xlfn.TEXTJOIN( ,0,O105,", ",N105, )</f>
        <v>30.5458335876465, -91.1833343505859</v>
      </c>
      <c r="N105" s="1" t="n">
        <v>-91.1833343505859</v>
      </c>
      <c r="O105" s="1" t="n">
        <v>30.5458335876465</v>
      </c>
      <c r="P105" s="1" t="s">
        <v>24</v>
      </c>
    </row>
    <row r="106" customFormat="false" ht="15" hidden="false" customHeight="false" outlineLevel="0" collapsed="false">
      <c r="A106" s="1" t="n">
        <v>105</v>
      </c>
      <c r="B106" s="1" t="n">
        <v>1</v>
      </c>
      <c r="C106" s="1" t="n">
        <v>2226</v>
      </c>
      <c r="D106" s="1" t="n">
        <v>1</v>
      </c>
      <c r="E106" s="1" t="s">
        <v>245</v>
      </c>
      <c r="F106" s="1" t="s">
        <v>246</v>
      </c>
      <c r="G106" s="1" t="s">
        <v>247</v>
      </c>
      <c r="H106" s="1" t="s">
        <v>37</v>
      </c>
      <c r="L106" s="1" t="s">
        <v>248</v>
      </c>
      <c r="M106" s="1" t="str">
        <f aca="false">_xlfn.TEXTJOIN( ,0,O106,", ",N106, )</f>
        <v>30.5750007629395, -91.1972198486328</v>
      </c>
      <c r="N106" s="1" t="n">
        <v>-91.1972198486328</v>
      </c>
      <c r="O106" s="1" t="n">
        <v>30.5750007629395</v>
      </c>
      <c r="P106" s="1" t="s">
        <v>24</v>
      </c>
    </row>
    <row r="107" customFormat="false" ht="15" hidden="false" customHeight="false" outlineLevel="0" collapsed="false">
      <c r="A107" s="1" t="n">
        <v>106</v>
      </c>
      <c r="B107" s="1" t="n">
        <v>1</v>
      </c>
      <c r="C107" s="1" t="n">
        <v>2227</v>
      </c>
      <c r="D107" s="1" t="n">
        <v>1</v>
      </c>
      <c r="E107" s="1" t="s">
        <v>249</v>
      </c>
      <c r="F107" s="1" t="s">
        <v>250</v>
      </c>
      <c r="G107" s="1" t="s">
        <v>251</v>
      </c>
      <c r="H107" s="1" t="s">
        <v>37</v>
      </c>
      <c r="L107" s="1" t="s">
        <v>252</v>
      </c>
      <c r="M107" s="1" t="str">
        <f aca="false">_xlfn.TEXTJOIN( ,0,O107,", ",N107, )</f>
        <v>30.4957695007324, -91.1731109619141</v>
      </c>
      <c r="N107" s="1" t="n">
        <v>-91.1731109619141</v>
      </c>
      <c r="O107" s="1" t="n">
        <v>30.4957695007324</v>
      </c>
      <c r="P107" s="1" t="s">
        <v>24</v>
      </c>
    </row>
    <row r="108" customFormat="false" ht="15" hidden="false" customHeight="false" outlineLevel="0" collapsed="false">
      <c r="A108" s="1" t="n">
        <v>107</v>
      </c>
      <c r="B108" s="1" t="n">
        <v>1</v>
      </c>
      <c r="C108" s="1" t="n">
        <v>2228</v>
      </c>
      <c r="D108" s="1" t="n">
        <v>1</v>
      </c>
      <c r="E108" s="1" t="s">
        <v>253</v>
      </c>
      <c r="F108" s="1" t="s">
        <v>254</v>
      </c>
      <c r="G108" s="1" t="s">
        <v>251</v>
      </c>
      <c r="H108" s="1" t="s">
        <v>37</v>
      </c>
      <c r="L108" s="1" t="s">
        <v>255</v>
      </c>
      <c r="M108" s="1" t="str">
        <f aca="false">_xlfn.TEXTJOIN( ,0,O108,", ",N108, )</f>
        <v>30.5520133972168, -91.1785202026367</v>
      </c>
      <c r="N108" s="1" t="n">
        <v>-91.1785202026367</v>
      </c>
      <c r="O108" s="1" t="n">
        <v>30.5520133972168</v>
      </c>
      <c r="P108" s="1" t="s">
        <v>24</v>
      </c>
    </row>
    <row r="109" customFormat="false" ht="15" hidden="false" customHeight="false" outlineLevel="0" collapsed="false">
      <c r="A109" s="1" t="n">
        <v>108</v>
      </c>
      <c r="B109" s="1" t="n">
        <v>1</v>
      </c>
      <c r="C109" s="1" t="n">
        <v>2229</v>
      </c>
      <c r="D109" s="1" t="n">
        <v>1</v>
      </c>
      <c r="E109" s="1" t="s">
        <v>256</v>
      </c>
      <c r="F109" s="1" t="s">
        <v>257</v>
      </c>
      <c r="H109" s="1" t="s">
        <v>37</v>
      </c>
      <c r="I109" s="1" t="s">
        <v>258</v>
      </c>
      <c r="L109" s="1" t="s">
        <v>259</v>
      </c>
      <c r="M109" s="1" t="str">
        <f aca="false">_xlfn.TEXTJOIN( ,0,O109,", ",N109, )</f>
        <v>30.4849166870117, -91.1739196777344</v>
      </c>
      <c r="N109" s="1" t="n">
        <v>-91.1739196777344</v>
      </c>
      <c r="O109" s="1" t="n">
        <v>30.4849166870117</v>
      </c>
      <c r="P109" s="1" t="s">
        <v>24</v>
      </c>
    </row>
    <row r="110" customFormat="false" ht="15" hidden="false" customHeight="false" outlineLevel="0" collapsed="false">
      <c r="A110" s="1" t="n">
        <v>109</v>
      </c>
      <c r="B110" s="1" t="n">
        <v>1</v>
      </c>
      <c r="C110" s="1" t="n">
        <v>2230</v>
      </c>
      <c r="D110" s="1" t="n">
        <v>1</v>
      </c>
      <c r="E110" s="1" t="s">
        <v>260</v>
      </c>
      <c r="F110" s="1" t="s">
        <v>261</v>
      </c>
      <c r="H110" s="1" t="s">
        <v>37</v>
      </c>
      <c r="L110" s="1" t="s">
        <v>262</v>
      </c>
      <c r="M110" s="1" t="str">
        <f aca="false">_xlfn.TEXTJOIN( ,0,O110,", ",N110, )</f>
        <v>30.5601387023926, -91.2054977416992</v>
      </c>
      <c r="N110" s="1" t="n">
        <v>-91.2054977416992</v>
      </c>
      <c r="O110" s="1" t="n">
        <v>30.5601387023926</v>
      </c>
      <c r="P110" s="1" t="s">
        <v>24</v>
      </c>
    </row>
    <row r="111" customFormat="false" ht="15" hidden="false" customHeight="false" outlineLevel="0" collapsed="false">
      <c r="A111" s="1" t="n">
        <v>110</v>
      </c>
      <c r="B111" s="1" t="n">
        <v>1</v>
      </c>
      <c r="C111" s="1" t="n">
        <v>2231</v>
      </c>
      <c r="D111" s="1" t="n">
        <v>1</v>
      </c>
      <c r="E111" s="1" t="s">
        <v>263</v>
      </c>
      <c r="F111" s="1" t="s">
        <v>16</v>
      </c>
      <c r="H111" s="1" t="n">
        <v>0</v>
      </c>
      <c r="I111" s="1" t="s">
        <v>16</v>
      </c>
      <c r="L111" s="1" t="s">
        <v>264</v>
      </c>
      <c r="M111" s="1" t="str">
        <f aca="false">_xlfn.TEXTJOIN( ,0,O111,", ",N111, )</f>
        <v>30.4778308868408, -91.1686325073242</v>
      </c>
      <c r="N111" s="1" t="n">
        <v>-91.1686325073242</v>
      </c>
      <c r="O111" s="1" t="n">
        <v>30.4778308868408</v>
      </c>
      <c r="P111" s="1" t="s">
        <v>24</v>
      </c>
    </row>
    <row r="112" customFormat="false" ht="15" hidden="false" customHeight="false" outlineLevel="0" collapsed="false">
      <c r="A112" s="1" t="n">
        <v>111</v>
      </c>
      <c r="B112" s="1" t="n">
        <v>1</v>
      </c>
      <c r="C112" s="1" t="n">
        <v>2232</v>
      </c>
      <c r="D112" s="1" t="n">
        <v>1</v>
      </c>
      <c r="E112" s="1" t="s">
        <v>265</v>
      </c>
      <c r="F112" s="1" t="s">
        <v>16</v>
      </c>
      <c r="H112" s="1" t="n">
        <v>0</v>
      </c>
      <c r="I112" s="1" t="s">
        <v>16</v>
      </c>
      <c r="L112" s="1" t="s">
        <v>23</v>
      </c>
      <c r="M112" s="1" t="str">
        <f aca="false">_xlfn.TEXTJOIN( ,0,O112,", ",N112, )</f>
        <v>30.4433307647705, -91.1874771118164</v>
      </c>
      <c r="N112" s="1" t="n">
        <v>-91.1874771118164</v>
      </c>
      <c r="O112" s="1" t="n">
        <v>30.4433307647705</v>
      </c>
      <c r="P112" s="1" t="s">
        <v>24</v>
      </c>
    </row>
    <row r="113" customFormat="false" ht="15" hidden="false" customHeight="false" outlineLevel="0" collapsed="false">
      <c r="A113" s="1" t="n">
        <v>112</v>
      </c>
      <c r="B113" s="1" t="n">
        <v>1</v>
      </c>
      <c r="C113" s="1" t="n">
        <v>2233</v>
      </c>
      <c r="D113" s="1" t="n">
        <v>1</v>
      </c>
      <c r="E113" s="1" t="s">
        <v>266</v>
      </c>
      <c r="F113" s="1" t="s">
        <v>16</v>
      </c>
      <c r="H113" s="1" t="n">
        <v>0</v>
      </c>
      <c r="I113" s="1" t="s">
        <v>16</v>
      </c>
      <c r="L113" s="1" t="s">
        <v>267</v>
      </c>
      <c r="M113" s="1" t="str">
        <f aca="false">_xlfn.TEXTJOIN( ,0,O113,", ",N113, )</f>
        <v>30.4497604370117, -91.1735763549805</v>
      </c>
      <c r="N113" s="1" t="n">
        <v>-91.1735763549805</v>
      </c>
      <c r="O113" s="1" t="n">
        <v>30.4497604370117</v>
      </c>
      <c r="P113" s="1" t="s">
        <v>24</v>
      </c>
    </row>
    <row r="114" customFormat="false" ht="15" hidden="false" customHeight="false" outlineLevel="0" collapsed="false">
      <c r="A114" s="1" t="n">
        <v>113</v>
      </c>
      <c r="B114" s="1" t="n">
        <v>1</v>
      </c>
      <c r="C114" s="1" t="n">
        <v>2234</v>
      </c>
      <c r="D114" s="1" t="n">
        <v>1</v>
      </c>
      <c r="E114" s="1" t="s">
        <v>268</v>
      </c>
      <c r="F114" s="1" t="s">
        <v>16</v>
      </c>
      <c r="H114" s="1" t="n">
        <v>0</v>
      </c>
      <c r="I114" s="1" t="s">
        <v>16</v>
      </c>
      <c r="L114" s="1" t="s">
        <v>269</v>
      </c>
      <c r="M114" s="1" t="str">
        <f aca="false">_xlfn.TEXTJOIN( ,0,O114,", ",N114, )</f>
        <v>30.4813899993897, -91.1595230102539</v>
      </c>
      <c r="N114" s="1" t="n">
        <v>-91.1595230102539</v>
      </c>
      <c r="O114" s="1" t="n">
        <v>30.4813899993897</v>
      </c>
      <c r="P114" s="1" t="s">
        <v>24</v>
      </c>
    </row>
    <row r="115" customFormat="false" ht="15" hidden="false" customHeight="false" outlineLevel="0" collapsed="false">
      <c r="A115" s="1" t="n">
        <v>114</v>
      </c>
      <c r="B115" s="1" t="n">
        <v>1</v>
      </c>
      <c r="C115" s="1" t="n">
        <v>2235</v>
      </c>
      <c r="D115" s="1" t="n">
        <v>1</v>
      </c>
      <c r="E115" s="1" t="s">
        <v>270</v>
      </c>
      <c r="F115" s="1" t="s">
        <v>271</v>
      </c>
      <c r="H115" s="1" t="s">
        <v>37</v>
      </c>
      <c r="L115" s="1" t="s">
        <v>272</v>
      </c>
      <c r="M115" s="1" t="str">
        <f aca="false">_xlfn.TEXTJOIN( ,0,O115,", ",N115, )</f>
        <v>30.4982032775879, -91.1891479492188</v>
      </c>
      <c r="N115" s="1" t="n">
        <v>-91.1891479492188</v>
      </c>
      <c r="O115" s="1" t="n">
        <v>30.4982032775879</v>
      </c>
      <c r="P115" s="1" t="s">
        <v>24</v>
      </c>
    </row>
    <row r="116" customFormat="false" ht="15" hidden="false" customHeight="false" outlineLevel="0" collapsed="false">
      <c r="A116" s="1" t="n">
        <v>115</v>
      </c>
      <c r="B116" s="1" t="n">
        <v>1</v>
      </c>
      <c r="C116" s="1" t="n">
        <v>2236</v>
      </c>
      <c r="D116" s="1" t="n">
        <v>1</v>
      </c>
      <c r="E116" s="1" t="s">
        <v>273</v>
      </c>
      <c r="F116" s="1" t="s">
        <v>16</v>
      </c>
      <c r="H116" s="1" t="n">
        <v>0</v>
      </c>
      <c r="I116" s="1" t="s">
        <v>16</v>
      </c>
      <c r="L116" s="1" t="s">
        <v>274</v>
      </c>
      <c r="M116" s="1" t="str">
        <f aca="false">_xlfn.TEXTJOIN( ,0,O116,", ",N116, )</f>
        <v>30.3554306030273, -91.0465621948242</v>
      </c>
      <c r="N116" s="1" t="n">
        <v>-91.0465621948242</v>
      </c>
      <c r="O116" s="1" t="n">
        <v>30.3554306030273</v>
      </c>
      <c r="P116" s="1" t="s">
        <v>24</v>
      </c>
    </row>
    <row r="117" customFormat="false" ht="15" hidden="false" customHeight="false" outlineLevel="0" collapsed="false">
      <c r="A117" s="1" t="n">
        <v>116</v>
      </c>
      <c r="B117" s="1" t="n">
        <v>1</v>
      </c>
      <c r="C117" s="1" t="n">
        <v>2237</v>
      </c>
      <c r="D117" s="1" t="n">
        <v>1</v>
      </c>
      <c r="E117" s="1" t="s">
        <v>275</v>
      </c>
      <c r="F117" s="1" t="s">
        <v>16</v>
      </c>
      <c r="H117" s="1" t="n">
        <v>0</v>
      </c>
      <c r="I117" s="1" t="s">
        <v>16</v>
      </c>
      <c r="L117" s="1" t="s">
        <v>23</v>
      </c>
      <c r="M117" s="1" t="str">
        <f aca="false">_xlfn.TEXTJOIN( ,0,O117,", ",N117, )</f>
        <v>30.4433307647705, -91.1874771118164</v>
      </c>
      <c r="N117" s="1" t="n">
        <v>-91.1874771118164</v>
      </c>
      <c r="O117" s="1" t="n">
        <v>30.4433307647705</v>
      </c>
      <c r="P117" s="1" t="s">
        <v>24</v>
      </c>
    </row>
    <row r="118" customFormat="false" ht="15" hidden="false" customHeight="false" outlineLevel="0" collapsed="false">
      <c r="A118" s="1" t="n">
        <v>117</v>
      </c>
      <c r="B118" s="1" t="n">
        <v>1</v>
      </c>
      <c r="C118" s="1" t="n">
        <v>2238</v>
      </c>
      <c r="D118" s="1" t="n">
        <v>1</v>
      </c>
      <c r="E118" s="1" t="s">
        <v>276</v>
      </c>
      <c r="F118" s="1" t="s">
        <v>16</v>
      </c>
      <c r="H118" s="1" t="n">
        <v>0</v>
      </c>
      <c r="I118" s="1" t="s">
        <v>16</v>
      </c>
      <c r="L118" s="1" t="s">
        <v>277</v>
      </c>
      <c r="M118" s="1" t="str">
        <f aca="false">_xlfn.TEXTJOIN( ,0,O118,", ",N118, )</f>
        <v>30.4713191986084, -91.0996398925781</v>
      </c>
      <c r="N118" s="1" t="n">
        <v>-91.0996398925781</v>
      </c>
      <c r="O118" s="1" t="n">
        <v>30.4713191986084</v>
      </c>
      <c r="P118" s="1" t="s">
        <v>24</v>
      </c>
    </row>
    <row r="119" customFormat="false" ht="15" hidden="false" customHeight="false" outlineLevel="0" collapsed="false">
      <c r="A119" s="1" t="n">
        <v>118</v>
      </c>
      <c r="B119" s="1" t="n">
        <v>1</v>
      </c>
      <c r="C119" s="1" t="n">
        <v>2239</v>
      </c>
      <c r="D119" s="1" t="n">
        <v>1</v>
      </c>
      <c r="E119" s="1" t="s">
        <v>278</v>
      </c>
      <c r="F119" s="1" t="s">
        <v>16</v>
      </c>
      <c r="H119" s="1" t="n">
        <v>0</v>
      </c>
      <c r="I119" s="1" t="s">
        <v>16</v>
      </c>
      <c r="L119" s="1" t="s">
        <v>279</v>
      </c>
      <c r="M119" s="1" t="str">
        <f aca="false">_xlfn.TEXTJOIN( ,0,O119,", ",N119, )</f>
        <v>30.4271640777588, -91.1806716918945</v>
      </c>
      <c r="N119" s="1" t="n">
        <v>-91.1806716918945</v>
      </c>
      <c r="O119" s="1" t="n">
        <v>30.4271640777588</v>
      </c>
      <c r="P119" s="1" t="s">
        <v>24</v>
      </c>
    </row>
    <row r="120" customFormat="false" ht="15" hidden="false" customHeight="false" outlineLevel="0" collapsed="false">
      <c r="A120" s="1" t="n">
        <v>119</v>
      </c>
      <c r="B120" s="1" t="n">
        <v>1</v>
      </c>
      <c r="C120" s="1" t="n">
        <v>2240</v>
      </c>
      <c r="D120" s="1" t="n">
        <v>1</v>
      </c>
      <c r="E120" s="1" t="s">
        <v>280</v>
      </c>
      <c r="F120" s="1" t="s">
        <v>281</v>
      </c>
      <c r="H120" s="1" t="s">
        <v>37</v>
      </c>
      <c r="I120" s="1" t="s">
        <v>282</v>
      </c>
      <c r="L120" s="1" t="s">
        <v>283</v>
      </c>
      <c r="M120" s="1" t="str">
        <f aca="false">_xlfn.TEXTJOIN( ,0,O120,", ",N120, )</f>
        <v>30.3580513000488, -91.0474319458008</v>
      </c>
      <c r="N120" s="1" t="n">
        <v>-91.0474319458008</v>
      </c>
      <c r="O120" s="1" t="n">
        <v>30.3580513000488</v>
      </c>
      <c r="P120" s="1" t="s">
        <v>24</v>
      </c>
    </row>
    <row r="121" customFormat="false" ht="15" hidden="false" customHeight="false" outlineLevel="0" collapsed="false">
      <c r="A121" s="1" t="n">
        <v>120</v>
      </c>
      <c r="B121" s="1" t="n">
        <v>1</v>
      </c>
      <c r="C121" s="1" t="n">
        <v>2241</v>
      </c>
      <c r="D121" s="1" t="n">
        <v>1</v>
      </c>
      <c r="E121" s="1" t="s">
        <v>284</v>
      </c>
      <c r="F121" s="1" t="s">
        <v>281</v>
      </c>
      <c r="H121" s="1" t="s">
        <v>37</v>
      </c>
      <c r="I121" s="1" t="s">
        <v>282</v>
      </c>
      <c r="L121" s="1" t="s">
        <v>285</v>
      </c>
      <c r="M121" s="1" t="str">
        <f aca="false">_xlfn.TEXTJOIN( ,0,O121,", ",N121, )</f>
        <v>30.4698791503906, -91.1358947753906</v>
      </c>
      <c r="N121" s="1" t="n">
        <v>-91.1358947753906</v>
      </c>
      <c r="O121" s="1" t="n">
        <v>30.4698791503906</v>
      </c>
      <c r="P121" s="1" t="s">
        <v>24</v>
      </c>
    </row>
    <row r="122" customFormat="false" ht="15" hidden="false" customHeight="false" outlineLevel="0" collapsed="false">
      <c r="A122" s="1" t="n">
        <v>121</v>
      </c>
      <c r="B122" s="1" t="n">
        <v>1</v>
      </c>
      <c r="C122" s="1" t="n">
        <v>2242</v>
      </c>
      <c r="D122" s="1" t="n">
        <v>1</v>
      </c>
      <c r="E122" s="1" t="s">
        <v>286</v>
      </c>
      <c r="F122" s="1" t="s">
        <v>281</v>
      </c>
      <c r="H122" s="1" t="s">
        <v>37</v>
      </c>
      <c r="I122" s="1" t="s">
        <v>282</v>
      </c>
      <c r="L122" s="1" t="s">
        <v>287</v>
      </c>
      <c r="M122" s="1" t="str">
        <f aca="false">_xlfn.TEXTJOIN( ,0,O122,", ",N122, )</f>
        <v>30.490047454834, -91.074089050293</v>
      </c>
      <c r="N122" s="1" t="n">
        <v>-91.074089050293</v>
      </c>
      <c r="O122" s="1" t="n">
        <v>30.490047454834</v>
      </c>
      <c r="P122" s="1" t="s">
        <v>24</v>
      </c>
    </row>
    <row r="123" customFormat="false" ht="15" hidden="false" customHeight="false" outlineLevel="0" collapsed="false">
      <c r="A123" s="1" t="n">
        <v>122</v>
      </c>
      <c r="B123" s="1" t="n">
        <v>1</v>
      </c>
      <c r="C123" s="1" t="n">
        <v>2243</v>
      </c>
      <c r="D123" s="1" t="n">
        <v>1</v>
      </c>
      <c r="E123" s="1" t="s">
        <v>288</v>
      </c>
      <c r="F123" s="1" t="s">
        <v>16</v>
      </c>
      <c r="H123" s="1" t="n">
        <v>0</v>
      </c>
      <c r="I123" s="1" t="s">
        <v>16</v>
      </c>
      <c r="L123" s="1" t="s">
        <v>23</v>
      </c>
      <c r="M123" s="1" t="str">
        <f aca="false">_xlfn.TEXTJOIN( ,0,O123,", ",N123, )</f>
        <v>30.4433307647705, -91.1874771118164</v>
      </c>
      <c r="N123" s="1" t="n">
        <v>-91.1874771118164</v>
      </c>
      <c r="O123" s="1" t="n">
        <v>30.4433307647705</v>
      </c>
      <c r="P123" s="1" t="s">
        <v>24</v>
      </c>
    </row>
    <row r="124" customFormat="false" ht="15" hidden="false" customHeight="false" outlineLevel="0" collapsed="false">
      <c r="A124" s="1" t="n">
        <v>123</v>
      </c>
      <c r="B124" s="1" t="n">
        <v>1</v>
      </c>
      <c r="C124" s="1" t="n">
        <v>2244</v>
      </c>
      <c r="D124" s="1" t="n">
        <v>1</v>
      </c>
      <c r="E124" s="1" t="s">
        <v>289</v>
      </c>
      <c r="F124" s="1" t="s">
        <v>16</v>
      </c>
      <c r="H124" s="1" t="n">
        <v>0</v>
      </c>
      <c r="I124" s="1" t="s">
        <v>16</v>
      </c>
      <c r="L124" s="1" t="s">
        <v>290</v>
      </c>
      <c r="M124" s="1" t="str">
        <f aca="false">_xlfn.TEXTJOIN( ,0,O124,", ",N124, )</f>
        <v>30.4739494323731, -91.079460144043</v>
      </c>
      <c r="N124" s="1" t="n">
        <v>-91.079460144043</v>
      </c>
      <c r="O124" s="1" t="n">
        <v>30.4739494323731</v>
      </c>
      <c r="P124" s="1" t="s">
        <v>24</v>
      </c>
    </row>
    <row r="125" customFormat="false" ht="15" hidden="false" customHeight="false" outlineLevel="0" collapsed="false">
      <c r="A125" s="1" t="n">
        <v>124</v>
      </c>
      <c r="B125" s="1" t="n">
        <v>1</v>
      </c>
      <c r="C125" s="1" t="n">
        <v>2245</v>
      </c>
      <c r="D125" s="1" t="n">
        <v>1</v>
      </c>
      <c r="E125" s="1" t="s">
        <v>291</v>
      </c>
      <c r="F125" s="1" t="s">
        <v>16</v>
      </c>
      <c r="H125" s="1" t="n">
        <v>0</v>
      </c>
      <c r="I125" s="1" t="s">
        <v>16</v>
      </c>
      <c r="L125" s="1" t="s">
        <v>292</v>
      </c>
      <c r="M125" s="1" t="str">
        <f aca="false">_xlfn.TEXTJOIN( ,0,O125,", ",N125, )</f>
        <v>30.4686908721924, -91.1106719970703</v>
      </c>
      <c r="N125" s="1" t="n">
        <v>-91.1106719970703</v>
      </c>
      <c r="O125" s="1" t="n">
        <v>30.4686908721924</v>
      </c>
      <c r="P125" s="1" t="s">
        <v>24</v>
      </c>
    </row>
    <row r="126" customFormat="false" ht="15" hidden="false" customHeight="false" outlineLevel="0" collapsed="false">
      <c r="A126" s="1" t="n">
        <v>125</v>
      </c>
      <c r="B126" s="1" t="n">
        <v>1</v>
      </c>
      <c r="C126" s="1" t="n">
        <v>2246</v>
      </c>
      <c r="D126" s="1" t="n">
        <v>1</v>
      </c>
      <c r="E126" s="1" t="s">
        <v>293</v>
      </c>
      <c r="F126" s="1" t="s">
        <v>294</v>
      </c>
      <c r="G126" s="1" t="s">
        <v>295</v>
      </c>
      <c r="H126" s="1" t="s">
        <v>37</v>
      </c>
      <c r="L126" s="1" t="s">
        <v>296</v>
      </c>
      <c r="M126" s="1" t="str">
        <f aca="false">_xlfn.TEXTJOIN( ,0,O126,", ",N126, )</f>
        <v>30.4735908508301, -91.0614700317383</v>
      </c>
      <c r="N126" s="1" t="n">
        <v>-91.0614700317383</v>
      </c>
      <c r="O126" s="1" t="n">
        <v>30.4735908508301</v>
      </c>
      <c r="P126" s="1" t="s">
        <v>24</v>
      </c>
    </row>
    <row r="127" customFormat="false" ht="15" hidden="false" customHeight="false" outlineLevel="0" collapsed="false">
      <c r="A127" s="1" t="n">
        <v>126</v>
      </c>
      <c r="B127" s="1" t="n">
        <v>1</v>
      </c>
      <c r="C127" s="1" t="n">
        <v>2247</v>
      </c>
      <c r="D127" s="1" t="n">
        <v>1</v>
      </c>
      <c r="E127" s="1" t="s">
        <v>297</v>
      </c>
      <c r="F127" s="1" t="s">
        <v>16</v>
      </c>
      <c r="H127" s="1" t="n">
        <v>0</v>
      </c>
      <c r="I127" s="1" t="s">
        <v>16</v>
      </c>
      <c r="L127" s="1" t="s">
        <v>23</v>
      </c>
      <c r="M127" s="1" t="str">
        <f aca="false">_xlfn.TEXTJOIN( ,0,O127,", ",N127, )</f>
        <v>30.4433307647705, -91.1874771118164</v>
      </c>
      <c r="N127" s="1" t="n">
        <v>-91.1874771118164</v>
      </c>
      <c r="O127" s="1" t="n">
        <v>30.4433307647705</v>
      </c>
      <c r="P127" s="1" t="s">
        <v>24</v>
      </c>
    </row>
    <row r="128" customFormat="false" ht="15" hidden="false" customHeight="false" outlineLevel="0" collapsed="false">
      <c r="A128" s="1" t="n">
        <v>127</v>
      </c>
      <c r="B128" s="1" t="n">
        <v>1</v>
      </c>
      <c r="C128" s="1" t="n">
        <v>2248</v>
      </c>
      <c r="D128" s="1" t="n">
        <v>1</v>
      </c>
      <c r="E128" s="1" t="s">
        <v>298</v>
      </c>
      <c r="F128" s="1" t="s">
        <v>16</v>
      </c>
      <c r="H128" s="1" t="n">
        <v>0</v>
      </c>
      <c r="I128" s="1" t="s">
        <v>16</v>
      </c>
      <c r="L128" s="1" t="s">
        <v>299</v>
      </c>
      <c r="M128" s="1" t="str">
        <f aca="false">_xlfn.TEXTJOIN( ,0,O128,", ",N128, )</f>
        <v>30.4701404571533, -91.157096862793</v>
      </c>
      <c r="N128" s="1" t="n">
        <v>-91.157096862793</v>
      </c>
      <c r="O128" s="1" t="n">
        <v>30.4701404571533</v>
      </c>
      <c r="P128" s="1" t="s">
        <v>24</v>
      </c>
    </row>
    <row r="129" customFormat="false" ht="15" hidden="false" customHeight="false" outlineLevel="0" collapsed="false">
      <c r="A129" s="1" t="n">
        <v>128</v>
      </c>
      <c r="B129" s="1" t="n">
        <v>1</v>
      </c>
      <c r="C129" s="1" t="n">
        <v>2249</v>
      </c>
      <c r="D129" s="1" t="n">
        <v>1</v>
      </c>
      <c r="E129" s="1" t="s">
        <v>300</v>
      </c>
      <c r="F129" s="1" t="s">
        <v>301</v>
      </c>
      <c r="G129" s="1" t="s">
        <v>302</v>
      </c>
      <c r="H129" s="1" t="s">
        <v>37</v>
      </c>
      <c r="L129" s="1" t="s">
        <v>303</v>
      </c>
      <c r="M129" s="1" t="str">
        <f aca="false">_xlfn.TEXTJOIN( ,0,O129,", ",N129, )</f>
        <v>30.4733505249023, -91.0698165893555</v>
      </c>
      <c r="N129" s="1" t="n">
        <v>-91.0698165893555</v>
      </c>
      <c r="O129" s="1" t="n">
        <v>30.4733505249023</v>
      </c>
      <c r="P129" s="1" t="s">
        <v>24</v>
      </c>
    </row>
    <row r="130" customFormat="false" ht="15" hidden="false" customHeight="false" outlineLevel="0" collapsed="false">
      <c r="A130" s="1" t="n">
        <v>129</v>
      </c>
      <c r="B130" s="1" t="n">
        <v>1</v>
      </c>
      <c r="C130" s="1" t="n">
        <v>2250</v>
      </c>
      <c r="D130" s="1" t="n">
        <v>1</v>
      </c>
      <c r="E130" s="1" t="s">
        <v>304</v>
      </c>
      <c r="F130" s="1" t="s">
        <v>305</v>
      </c>
      <c r="G130" s="1" t="s">
        <v>306</v>
      </c>
      <c r="H130" s="1" t="s">
        <v>37</v>
      </c>
      <c r="L130" s="1" t="s">
        <v>307</v>
      </c>
      <c r="M130" s="1" t="str">
        <f aca="false">_xlfn.TEXTJOIN( ,0,O130,", ",N130, )</f>
        <v>30.50266456604, -91.1733932495117</v>
      </c>
      <c r="N130" s="1" t="n">
        <v>-91.1733932495117</v>
      </c>
      <c r="O130" s="1" t="n">
        <v>30.50266456604</v>
      </c>
      <c r="P130" s="1" t="s">
        <v>24</v>
      </c>
    </row>
    <row r="131" customFormat="false" ht="15" hidden="false" customHeight="false" outlineLevel="0" collapsed="false">
      <c r="A131" s="1" t="n">
        <v>130</v>
      </c>
      <c r="B131" s="1" t="n">
        <v>1</v>
      </c>
      <c r="C131" s="1" t="n">
        <v>2251</v>
      </c>
      <c r="D131" s="1" t="n">
        <v>1</v>
      </c>
      <c r="E131" s="1" t="s">
        <v>308</v>
      </c>
      <c r="F131" s="1" t="s">
        <v>16</v>
      </c>
      <c r="H131" s="1" t="n">
        <v>0</v>
      </c>
      <c r="I131" s="1" t="s">
        <v>16</v>
      </c>
      <c r="L131" s="1" t="s">
        <v>309</v>
      </c>
      <c r="M131" s="1" t="str">
        <f aca="false">_xlfn.TEXTJOIN( ,0,O131,", ",N131, )</f>
        <v>30.431999206543, -91.1876373291016</v>
      </c>
      <c r="N131" s="1" t="n">
        <v>-91.1876373291016</v>
      </c>
      <c r="O131" s="1" t="n">
        <v>30.431999206543</v>
      </c>
      <c r="P131" s="1" t="s">
        <v>24</v>
      </c>
    </row>
    <row r="132" customFormat="false" ht="15" hidden="false" customHeight="false" outlineLevel="0" collapsed="false">
      <c r="A132" s="1" t="n">
        <v>131</v>
      </c>
      <c r="B132" s="1" t="n">
        <v>1</v>
      </c>
      <c r="C132" s="1" t="n">
        <v>2252</v>
      </c>
      <c r="D132" s="1" t="n">
        <v>1</v>
      </c>
      <c r="E132" s="1" t="s">
        <v>310</v>
      </c>
      <c r="F132" s="1" t="s">
        <v>16</v>
      </c>
      <c r="H132" s="1" t="n">
        <v>0</v>
      </c>
      <c r="I132" s="1" t="s">
        <v>16</v>
      </c>
      <c r="L132" s="1" t="s">
        <v>311</v>
      </c>
      <c r="M132" s="1" t="str">
        <f aca="false">_xlfn.TEXTJOIN( ,0,O132,", ",N132, )</f>
        <v>30.446159362793, -91.1771011352539</v>
      </c>
      <c r="N132" s="1" t="n">
        <v>-91.1771011352539</v>
      </c>
      <c r="O132" s="1" t="n">
        <v>30.446159362793</v>
      </c>
      <c r="P132" s="1" t="s">
        <v>24</v>
      </c>
    </row>
    <row r="133" customFormat="false" ht="15" hidden="false" customHeight="false" outlineLevel="0" collapsed="false">
      <c r="A133" s="1" t="n">
        <v>132</v>
      </c>
      <c r="B133" s="1" t="n">
        <v>1</v>
      </c>
      <c r="C133" s="1" t="n">
        <v>2253</v>
      </c>
      <c r="D133" s="1" t="n">
        <v>1</v>
      </c>
      <c r="E133" s="1" t="s">
        <v>312</v>
      </c>
      <c r="F133" s="1" t="s">
        <v>16</v>
      </c>
      <c r="H133" s="1" t="n">
        <v>0</v>
      </c>
      <c r="I133" s="1" t="s">
        <v>16</v>
      </c>
      <c r="L133" s="1" t="s">
        <v>313</v>
      </c>
      <c r="M133" s="1" t="str">
        <f aca="false">_xlfn.TEXTJOIN( ,0,O133,", ",N133, )</f>
        <v>30.5086364746094, -91.0966873168945</v>
      </c>
      <c r="N133" s="1" t="n">
        <v>-91.0966873168945</v>
      </c>
      <c r="O133" s="1" t="n">
        <v>30.5086364746094</v>
      </c>
      <c r="P133" s="1" t="s">
        <v>24</v>
      </c>
    </row>
    <row r="134" customFormat="false" ht="15" hidden="false" customHeight="false" outlineLevel="0" collapsed="false">
      <c r="A134" s="1" t="n">
        <v>133</v>
      </c>
      <c r="B134" s="1" t="n">
        <v>1</v>
      </c>
      <c r="C134" s="1" t="n">
        <v>2254</v>
      </c>
      <c r="D134" s="1" t="n">
        <v>1</v>
      </c>
      <c r="E134" s="1" t="s">
        <v>314</v>
      </c>
      <c r="F134" s="1" t="s">
        <v>16</v>
      </c>
      <c r="H134" s="1" t="n">
        <v>0</v>
      </c>
      <c r="I134" s="1" t="s">
        <v>16</v>
      </c>
      <c r="L134" s="1" t="s">
        <v>315</v>
      </c>
      <c r="M134" s="1" t="str">
        <f aca="false">_xlfn.TEXTJOIN( ,0,O134,", ",N134, )</f>
        <v>30.4241008758545, -91.1418228149414</v>
      </c>
      <c r="N134" s="1" t="n">
        <v>-91.1418228149414</v>
      </c>
      <c r="O134" s="1" t="n">
        <v>30.4241008758545</v>
      </c>
      <c r="P134" s="1" t="s">
        <v>24</v>
      </c>
    </row>
    <row r="135" customFormat="false" ht="15" hidden="false" customHeight="false" outlineLevel="0" collapsed="false">
      <c r="A135" s="1" t="n">
        <v>134</v>
      </c>
      <c r="B135" s="1" t="n">
        <v>1</v>
      </c>
      <c r="C135" s="1" t="n">
        <v>2255</v>
      </c>
      <c r="D135" s="1" t="n">
        <v>1</v>
      </c>
      <c r="E135" s="1" t="s">
        <v>316</v>
      </c>
      <c r="F135" s="1" t="s">
        <v>16</v>
      </c>
      <c r="H135" s="1" t="n">
        <v>0</v>
      </c>
      <c r="I135" s="1" t="s">
        <v>16</v>
      </c>
      <c r="L135" s="1" t="s">
        <v>317</v>
      </c>
      <c r="M135" s="1" t="str">
        <f aca="false">_xlfn.TEXTJOIN( ,0,O135,", ",N135, )</f>
        <v>30.4553642272949, -91.143440246582</v>
      </c>
      <c r="N135" s="1" t="n">
        <v>-91.143440246582</v>
      </c>
      <c r="O135" s="1" t="n">
        <v>30.4553642272949</v>
      </c>
      <c r="P135" s="1" t="s">
        <v>24</v>
      </c>
    </row>
    <row r="136" customFormat="false" ht="15" hidden="false" customHeight="false" outlineLevel="0" collapsed="false">
      <c r="A136" s="1" t="n">
        <v>135</v>
      </c>
      <c r="B136" s="1" t="n">
        <v>1</v>
      </c>
      <c r="C136" s="1" t="n">
        <v>2256</v>
      </c>
      <c r="D136" s="1" t="n">
        <v>1</v>
      </c>
      <c r="E136" s="1" t="s">
        <v>318</v>
      </c>
      <c r="F136" s="1" t="s">
        <v>16</v>
      </c>
      <c r="H136" s="1" t="n">
        <v>0</v>
      </c>
      <c r="I136" s="1" t="s">
        <v>16</v>
      </c>
      <c r="L136" s="1" t="s">
        <v>319</v>
      </c>
      <c r="M136" s="1" t="str">
        <f aca="false">_xlfn.TEXTJOIN( ,0,O136,", ",N136, )</f>
        <v>30.451810836792, -91.1769790649414</v>
      </c>
      <c r="N136" s="1" t="n">
        <v>-91.1769790649414</v>
      </c>
      <c r="O136" s="1" t="n">
        <v>30.451810836792</v>
      </c>
      <c r="P136" s="1" t="s">
        <v>24</v>
      </c>
    </row>
    <row r="137" customFormat="false" ht="15" hidden="false" customHeight="false" outlineLevel="0" collapsed="false">
      <c r="A137" s="1" t="n">
        <v>136</v>
      </c>
      <c r="B137" s="1" t="n">
        <v>1</v>
      </c>
      <c r="C137" s="1" t="n">
        <v>2257</v>
      </c>
      <c r="D137" s="1" t="n">
        <v>1</v>
      </c>
      <c r="E137" s="1" t="s">
        <v>320</v>
      </c>
      <c r="F137" s="1" t="s">
        <v>16</v>
      </c>
      <c r="H137" s="1" t="n">
        <v>0</v>
      </c>
      <c r="I137" s="1" t="s">
        <v>16</v>
      </c>
      <c r="L137" s="1" t="s">
        <v>321</v>
      </c>
      <c r="M137" s="1" t="str">
        <f aca="false">_xlfn.TEXTJOIN( ,0,O137,", ",N137, )</f>
        <v>30.4398403167725, -91.1533203125</v>
      </c>
      <c r="N137" s="1" t="n">
        <v>-91.1533203125</v>
      </c>
      <c r="O137" s="1" t="n">
        <v>30.4398403167725</v>
      </c>
      <c r="P137" s="1" t="s">
        <v>24</v>
      </c>
    </row>
    <row r="138" customFormat="false" ht="15" hidden="false" customHeight="false" outlineLevel="0" collapsed="false">
      <c r="A138" s="1" t="n">
        <v>137</v>
      </c>
      <c r="B138" s="1" t="n">
        <v>1</v>
      </c>
      <c r="C138" s="1" t="n">
        <v>2258</v>
      </c>
      <c r="D138" s="1" t="n">
        <v>1</v>
      </c>
      <c r="E138" s="1" t="s">
        <v>322</v>
      </c>
      <c r="F138" s="1" t="s">
        <v>16</v>
      </c>
      <c r="H138" s="1" t="n">
        <v>0</v>
      </c>
      <c r="I138" s="1" t="s">
        <v>16</v>
      </c>
      <c r="L138" s="1" t="s">
        <v>323</v>
      </c>
      <c r="M138" s="1" t="str">
        <f aca="false">_xlfn.TEXTJOIN( ,0,O138,", ",N138, )</f>
        <v>30.4766292572022, -91.1174621582031</v>
      </c>
      <c r="N138" s="1" t="n">
        <v>-91.1174621582031</v>
      </c>
      <c r="O138" s="1" t="n">
        <v>30.4766292572022</v>
      </c>
      <c r="P138" s="1" t="s">
        <v>24</v>
      </c>
    </row>
    <row r="139" customFormat="false" ht="15" hidden="false" customHeight="false" outlineLevel="0" collapsed="false">
      <c r="A139" s="1" t="n">
        <v>138</v>
      </c>
      <c r="B139" s="1" t="n">
        <v>1</v>
      </c>
      <c r="C139" s="1" t="n">
        <v>2259</v>
      </c>
      <c r="D139" s="1" t="n">
        <v>1</v>
      </c>
      <c r="E139" s="1" t="s">
        <v>324</v>
      </c>
      <c r="F139" s="1" t="s">
        <v>16</v>
      </c>
      <c r="H139" s="1" t="n">
        <v>0</v>
      </c>
      <c r="I139" s="1" t="s">
        <v>16</v>
      </c>
      <c r="L139" s="1" t="s">
        <v>325</v>
      </c>
      <c r="M139" s="1" t="str">
        <f aca="false">_xlfn.TEXTJOIN( ,0,O139,", ",N139, )</f>
        <v>30.5576610565186, -91.162971496582</v>
      </c>
      <c r="N139" s="1" t="n">
        <v>-91.162971496582</v>
      </c>
      <c r="O139" s="1" t="n">
        <v>30.5576610565186</v>
      </c>
      <c r="P139" s="1" t="s">
        <v>24</v>
      </c>
    </row>
    <row r="140" customFormat="false" ht="15" hidden="false" customHeight="false" outlineLevel="0" collapsed="false">
      <c r="A140" s="1" t="n">
        <v>139</v>
      </c>
      <c r="B140" s="1" t="n">
        <v>1</v>
      </c>
      <c r="C140" s="1" t="n">
        <v>2260</v>
      </c>
      <c r="D140" s="1" t="n">
        <v>1</v>
      </c>
      <c r="E140" s="1" t="s">
        <v>326</v>
      </c>
      <c r="F140" s="1" t="s">
        <v>16</v>
      </c>
      <c r="H140" s="1" t="n">
        <v>0</v>
      </c>
      <c r="I140" s="1" t="s">
        <v>16</v>
      </c>
      <c r="L140" s="1" t="s">
        <v>327</v>
      </c>
      <c r="M140" s="1" t="str">
        <f aca="false">_xlfn.TEXTJOIN( ,0,O140,", ",N140, )</f>
        <v>30.4512367248535, -91.1772003173828</v>
      </c>
      <c r="N140" s="1" t="n">
        <v>-91.1772003173828</v>
      </c>
      <c r="O140" s="1" t="n">
        <v>30.4512367248535</v>
      </c>
      <c r="P140" s="1" t="s">
        <v>24</v>
      </c>
    </row>
    <row r="141" customFormat="false" ht="15" hidden="false" customHeight="false" outlineLevel="0" collapsed="false">
      <c r="A141" s="1" t="n">
        <v>140</v>
      </c>
      <c r="B141" s="1" t="n">
        <v>1</v>
      </c>
      <c r="C141" s="1" t="n">
        <v>2261</v>
      </c>
      <c r="D141" s="1" t="n">
        <v>1</v>
      </c>
      <c r="E141" s="1" t="s">
        <v>328</v>
      </c>
      <c r="F141" s="1" t="s">
        <v>16</v>
      </c>
      <c r="H141" s="1" t="n">
        <v>0</v>
      </c>
      <c r="I141" s="1" t="s">
        <v>16</v>
      </c>
      <c r="L141" s="1" t="s">
        <v>329</v>
      </c>
      <c r="M141" s="1" t="str">
        <f aca="false">_xlfn.TEXTJOIN( ,0,O141,", ",N141, )</f>
        <v>30.444450378418, -91.1424026489258</v>
      </c>
      <c r="N141" s="1" t="n">
        <v>-91.1424026489258</v>
      </c>
      <c r="O141" s="1" t="n">
        <v>30.444450378418</v>
      </c>
      <c r="P141" s="1" t="s">
        <v>24</v>
      </c>
    </row>
    <row r="142" customFormat="false" ht="15" hidden="false" customHeight="false" outlineLevel="0" collapsed="false">
      <c r="A142" s="1" t="n">
        <v>141</v>
      </c>
      <c r="B142" s="1" t="n">
        <v>1</v>
      </c>
      <c r="C142" s="1" t="n">
        <v>2262</v>
      </c>
      <c r="D142" s="1" t="n">
        <v>1</v>
      </c>
      <c r="E142" s="1" t="s">
        <v>330</v>
      </c>
      <c r="F142" s="1" t="s">
        <v>16</v>
      </c>
      <c r="H142" s="1" t="n">
        <v>0</v>
      </c>
      <c r="I142" s="1" t="s">
        <v>16</v>
      </c>
      <c r="L142" s="1" t="s">
        <v>331</v>
      </c>
      <c r="M142" s="1" t="str">
        <f aca="false">_xlfn.TEXTJOIN( ,0,O142,", ",N142, )</f>
        <v>30.4773597717285, -91.1686019897461</v>
      </c>
      <c r="N142" s="1" t="n">
        <v>-91.1686019897461</v>
      </c>
      <c r="O142" s="1" t="n">
        <v>30.4773597717285</v>
      </c>
      <c r="P142" s="1" t="s">
        <v>24</v>
      </c>
    </row>
    <row r="143" customFormat="false" ht="15" hidden="false" customHeight="false" outlineLevel="0" collapsed="false">
      <c r="A143" s="1" t="n">
        <v>142</v>
      </c>
      <c r="B143" s="1" t="n">
        <v>1</v>
      </c>
      <c r="C143" s="1" t="n">
        <v>2263</v>
      </c>
      <c r="D143" s="1" t="n">
        <v>1</v>
      </c>
      <c r="E143" s="1" t="s">
        <v>332</v>
      </c>
      <c r="F143" s="1" t="s">
        <v>16</v>
      </c>
      <c r="H143" s="1" t="n">
        <v>0</v>
      </c>
      <c r="I143" s="1" t="s">
        <v>16</v>
      </c>
      <c r="L143" s="1" t="s">
        <v>323</v>
      </c>
      <c r="M143" s="1" t="str">
        <f aca="false">_xlfn.TEXTJOIN( ,0,O143,", ",N143, )</f>
        <v>30.4766292572022, -91.1174621582031</v>
      </c>
      <c r="N143" s="1" t="n">
        <v>-91.1174621582031</v>
      </c>
      <c r="O143" s="1" t="n">
        <v>30.4766292572022</v>
      </c>
      <c r="P143" s="1" t="s">
        <v>24</v>
      </c>
    </row>
    <row r="144" customFormat="false" ht="15" hidden="false" customHeight="false" outlineLevel="0" collapsed="false">
      <c r="A144" s="1" t="n">
        <v>143</v>
      </c>
      <c r="B144" s="1" t="n">
        <v>1</v>
      </c>
      <c r="C144" s="1" t="n">
        <v>2264</v>
      </c>
      <c r="D144" s="1" t="n">
        <v>1</v>
      </c>
      <c r="E144" s="1" t="s">
        <v>333</v>
      </c>
      <c r="F144" s="1" t="s">
        <v>16</v>
      </c>
      <c r="H144" s="1" t="n">
        <v>0</v>
      </c>
      <c r="I144" s="1" t="s">
        <v>16</v>
      </c>
      <c r="L144" s="1" t="s">
        <v>334</v>
      </c>
      <c r="M144" s="1" t="str">
        <f aca="false">_xlfn.TEXTJOIN( ,0,O144,", ",N144, )</f>
        <v>30.4553508758545, -91.1648330688477</v>
      </c>
      <c r="N144" s="1" t="n">
        <v>-91.1648330688477</v>
      </c>
      <c r="O144" s="1" t="n">
        <v>30.4553508758545</v>
      </c>
      <c r="P144" s="1" t="s">
        <v>24</v>
      </c>
    </row>
    <row r="145" customFormat="false" ht="15" hidden="false" customHeight="false" outlineLevel="0" collapsed="false">
      <c r="A145" s="1" t="n">
        <v>144</v>
      </c>
      <c r="B145" s="1" t="n">
        <v>1</v>
      </c>
      <c r="C145" s="1" t="n">
        <v>2265</v>
      </c>
      <c r="D145" s="1" t="n">
        <v>1</v>
      </c>
      <c r="E145" s="1" t="s">
        <v>335</v>
      </c>
      <c r="F145" s="1" t="s">
        <v>16</v>
      </c>
      <c r="H145" s="1" t="n">
        <v>0</v>
      </c>
      <c r="I145" s="1" t="s">
        <v>16</v>
      </c>
      <c r="L145" s="1" t="s">
        <v>27</v>
      </c>
      <c r="M145" s="1" t="str">
        <f aca="false">_xlfn.TEXTJOIN( ,0,O145,", ",N145, )</f>
        <v>30.431999206543, -91.1832122802734</v>
      </c>
      <c r="N145" s="1" t="n">
        <v>-91.1832122802734</v>
      </c>
      <c r="O145" s="1" t="n">
        <v>30.431999206543</v>
      </c>
      <c r="P145" s="1" t="s">
        <v>24</v>
      </c>
    </row>
    <row r="146" customFormat="false" ht="15" hidden="false" customHeight="false" outlineLevel="0" collapsed="false">
      <c r="A146" s="1" t="n">
        <v>145</v>
      </c>
      <c r="B146" s="1" t="n">
        <v>1</v>
      </c>
      <c r="C146" s="1" t="n">
        <v>2266</v>
      </c>
      <c r="D146" s="1" t="n">
        <v>1</v>
      </c>
      <c r="E146" s="1" t="s">
        <v>336</v>
      </c>
      <c r="F146" s="1" t="s">
        <v>16</v>
      </c>
      <c r="H146" s="1" t="n">
        <v>0</v>
      </c>
      <c r="I146" s="1" t="s">
        <v>16</v>
      </c>
      <c r="L146" s="1" t="s">
        <v>337</v>
      </c>
      <c r="M146" s="1" t="str">
        <f aca="false">_xlfn.TEXTJOIN( ,0,O146,", ",N146, )</f>
        <v>30.4225425720215, -91.1876525878906</v>
      </c>
      <c r="N146" s="1" t="n">
        <v>-91.1876525878906</v>
      </c>
      <c r="O146" s="1" t="n">
        <v>30.4225425720215</v>
      </c>
      <c r="P146" s="1" t="s">
        <v>24</v>
      </c>
    </row>
    <row r="147" customFormat="false" ht="15" hidden="false" customHeight="false" outlineLevel="0" collapsed="false">
      <c r="A147" s="1" t="n">
        <v>146</v>
      </c>
      <c r="B147" s="1" t="n">
        <v>1</v>
      </c>
      <c r="C147" s="1" t="n">
        <v>2267</v>
      </c>
      <c r="D147" s="1" t="n">
        <v>1</v>
      </c>
      <c r="E147" s="1" t="s">
        <v>338</v>
      </c>
      <c r="F147" s="1" t="s">
        <v>16</v>
      </c>
      <c r="H147" s="1" t="n">
        <v>0</v>
      </c>
      <c r="I147" s="1" t="s">
        <v>16</v>
      </c>
      <c r="L147" s="1" t="s">
        <v>339</v>
      </c>
      <c r="M147" s="1" t="str">
        <f aca="false">_xlfn.TEXTJOIN( ,0,O147,", ",N147, )</f>
        <v>30.5174617767334, -91.1707305908203</v>
      </c>
      <c r="N147" s="1" t="n">
        <v>-91.1707305908203</v>
      </c>
      <c r="O147" s="1" t="n">
        <v>30.5174617767334</v>
      </c>
      <c r="P147" s="1" t="s">
        <v>24</v>
      </c>
    </row>
    <row r="148" customFormat="false" ht="15" hidden="false" customHeight="false" outlineLevel="0" collapsed="false">
      <c r="A148" s="1" t="n">
        <v>147</v>
      </c>
      <c r="B148" s="1" t="n">
        <v>1</v>
      </c>
      <c r="C148" s="1" t="n">
        <v>2268</v>
      </c>
      <c r="D148" s="1" t="n">
        <v>1</v>
      </c>
      <c r="E148" s="1" t="s">
        <v>340</v>
      </c>
      <c r="F148" s="1" t="s">
        <v>16</v>
      </c>
      <c r="H148" s="1" t="n">
        <v>0</v>
      </c>
      <c r="I148" s="1" t="s">
        <v>16</v>
      </c>
      <c r="L148" s="1" t="s">
        <v>341</v>
      </c>
      <c r="M148" s="1" t="str">
        <f aca="false">_xlfn.TEXTJOIN( ,0,O148,", ",N148, )</f>
        <v>30.4448108673096, -91.1685180664063</v>
      </c>
      <c r="N148" s="1" t="n">
        <v>-91.1685180664063</v>
      </c>
      <c r="O148" s="1" t="n">
        <v>30.4448108673096</v>
      </c>
      <c r="P148" s="1" t="s">
        <v>24</v>
      </c>
    </row>
    <row r="149" customFormat="false" ht="15" hidden="false" customHeight="false" outlineLevel="0" collapsed="false">
      <c r="A149" s="1" t="n">
        <v>148</v>
      </c>
      <c r="B149" s="1" t="n">
        <v>1</v>
      </c>
      <c r="C149" s="1" t="n">
        <v>2269</v>
      </c>
      <c r="D149" s="1" t="n">
        <v>1</v>
      </c>
      <c r="E149" s="1" t="s">
        <v>342</v>
      </c>
      <c r="F149" s="1" t="s">
        <v>16</v>
      </c>
      <c r="H149" s="1" t="n">
        <v>0</v>
      </c>
      <c r="I149" s="1" t="s">
        <v>16</v>
      </c>
      <c r="L149" s="1" t="s">
        <v>343</v>
      </c>
      <c r="M149" s="1" t="str">
        <f aca="false">_xlfn.TEXTJOIN( ,0,O149,", ",N149, )</f>
        <v>30.4287052154541, -91.1747436523438</v>
      </c>
      <c r="N149" s="1" t="n">
        <v>-91.1747436523438</v>
      </c>
      <c r="O149" s="1" t="n">
        <v>30.4287052154541</v>
      </c>
      <c r="P149" s="1" t="s">
        <v>24</v>
      </c>
    </row>
    <row r="150" customFormat="false" ht="15" hidden="false" customHeight="false" outlineLevel="0" collapsed="false">
      <c r="A150" s="1" t="n">
        <v>149</v>
      </c>
      <c r="B150" s="1" t="n">
        <v>1</v>
      </c>
      <c r="C150" s="1" t="n">
        <v>2270</v>
      </c>
      <c r="D150" s="1" t="n">
        <v>1</v>
      </c>
      <c r="E150" s="1" t="s">
        <v>344</v>
      </c>
      <c r="F150" s="1" t="s">
        <v>16</v>
      </c>
      <c r="H150" s="1" t="n">
        <v>0</v>
      </c>
      <c r="I150" s="1" t="s">
        <v>16</v>
      </c>
      <c r="L150" s="1" t="s">
        <v>345</v>
      </c>
      <c r="M150" s="1" t="str">
        <f aca="false">_xlfn.TEXTJOIN( ,0,O150,", ",N150, )</f>
        <v>30.5194530487061, -91.1786880493164</v>
      </c>
      <c r="N150" s="1" t="n">
        <v>-91.1786880493164</v>
      </c>
      <c r="O150" s="1" t="n">
        <v>30.5194530487061</v>
      </c>
      <c r="P150" s="1" t="s">
        <v>24</v>
      </c>
    </row>
    <row r="151" customFormat="false" ht="15" hidden="false" customHeight="false" outlineLevel="0" collapsed="false">
      <c r="A151" s="1" t="n">
        <v>150</v>
      </c>
      <c r="B151" s="1" t="n">
        <v>1</v>
      </c>
      <c r="C151" s="1" t="n">
        <v>2271</v>
      </c>
      <c r="D151" s="1" t="n">
        <v>1</v>
      </c>
      <c r="E151" s="1" t="s">
        <v>346</v>
      </c>
      <c r="F151" s="1" t="s">
        <v>16</v>
      </c>
      <c r="H151" s="1" t="n">
        <v>0</v>
      </c>
      <c r="I151" s="1" t="s">
        <v>16</v>
      </c>
      <c r="L151" s="1" t="s">
        <v>347</v>
      </c>
      <c r="M151" s="1" t="str">
        <f aca="false">_xlfn.TEXTJOIN( ,0,O151,", ",N151, )</f>
        <v>30.453800201416, -91.1435089111328</v>
      </c>
      <c r="N151" s="1" t="n">
        <v>-91.1435089111328</v>
      </c>
      <c r="O151" s="1" t="n">
        <v>30.453800201416</v>
      </c>
      <c r="P151" s="1" t="s">
        <v>24</v>
      </c>
    </row>
    <row r="152" customFormat="false" ht="15" hidden="false" customHeight="false" outlineLevel="0" collapsed="false">
      <c r="A152" s="1" t="n">
        <v>151</v>
      </c>
      <c r="B152" s="1" t="n">
        <v>1</v>
      </c>
      <c r="C152" s="1" t="n">
        <v>2272</v>
      </c>
      <c r="D152" s="1" t="n">
        <v>1</v>
      </c>
      <c r="E152" s="1" t="s">
        <v>348</v>
      </c>
      <c r="F152" s="1" t="s">
        <v>16</v>
      </c>
      <c r="H152" s="1" t="n">
        <v>0</v>
      </c>
      <c r="I152" s="1" t="s">
        <v>16</v>
      </c>
      <c r="L152" s="1" t="s">
        <v>349</v>
      </c>
      <c r="M152" s="1" t="str">
        <f aca="false">_xlfn.TEXTJOIN( ,0,O152,", ",N152, )</f>
        <v>30.4464092254639, -91.1691589355469</v>
      </c>
      <c r="N152" s="1" t="n">
        <v>-91.1691589355469</v>
      </c>
      <c r="O152" s="1" t="n">
        <v>30.4464092254639</v>
      </c>
      <c r="P152" s="1" t="s">
        <v>24</v>
      </c>
    </row>
    <row r="153" customFormat="false" ht="15" hidden="false" customHeight="false" outlineLevel="0" collapsed="false">
      <c r="A153" s="1" t="n">
        <v>152</v>
      </c>
      <c r="B153" s="1" t="n">
        <v>1</v>
      </c>
      <c r="C153" s="1" t="n">
        <v>2273</v>
      </c>
      <c r="D153" s="1" t="n">
        <v>1</v>
      </c>
      <c r="E153" s="1" t="s">
        <v>350</v>
      </c>
      <c r="F153" s="1" t="s">
        <v>16</v>
      </c>
      <c r="H153" s="1" t="n">
        <v>0</v>
      </c>
      <c r="I153" s="1" t="s">
        <v>16</v>
      </c>
      <c r="L153" s="1" t="s">
        <v>351</v>
      </c>
      <c r="M153" s="1" t="str">
        <f aca="false">_xlfn.TEXTJOIN( ,0,O153,", ",N153, )</f>
        <v>30.464391708374, -91.1358413696289</v>
      </c>
      <c r="N153" s="1" t="n">
        <v>-91.1358413696289</v>
      </c>
      <c r="O153" s="1" t="n">
        <v>30.464391708374</v>
      </c>
      <c r="P153" s="1" t="s">
        <v>24</v>
      </c>
    </row>
    <row r="154" customFormat="false" ht="15" hidden="false" customHeight="false" outlineLevel="0" collapsed="false">
      <c r="A154" s="1" t="n">
        <v>153</v>
      </c>
      <c r="B154" s="1" t="n">
        <v>1</v>
      </c>
      <c r="C154" s="1" t="n">
        <v>2274</v>
      </c>
      <c r="D154" s="1" t="n">
        <v>1</v>
      </c>
      <c r="E154" s="1" t="s">
        <v>352</v>
      </c>
      <c r="F154" s="1" t="s">
        <v>16</v>
      </c>
      <c r="H154" s="1" t="n">
        <v>0</v>
      </c>
      <c r="I154" s="1" t="s">
        <v>16</v>
      </c>
      <c r="L154" s="1" t="s">
        <v>353</v>
      </c>
      <c r="M154" s="1" t="str">
        <f aca="false">_xlfn.TEXTJOIN( ,0,O154,", ",N154, )</f>
        <v>30.4814491271973, -91.1598052978516</v>
      </c>
      <c r="N154" s="1" t="n">
        <v>-91.1598052978516</v>
      </c>
      <c r="O154" s="1" t="n">
        <v>30.4814491271973</v>
      </c>
      <c r="P154" s="1" t="s">
        <v>24</v>
      </c>
    </row>
    <row r="155" customFormat="false" ht="15" hidden="false" customHeight="false" outlineLevel="0" collapsed="false">
      <c r="A155" s="1" t="n">
        <v>154</v>
      </c>
      <c r="B155" s="1" t="n">
        <v>1</v>
      </c>
      <c r="C155" s="1" t="n">
        <v>2275</v>
      </c>
      <c r="D155" s="1" t="n">
        <v>1</v>
      </c>
      <c r="E155" s="1" t="s">
        <v>354</v>
      </c>
      <c r="F155" s="1" t="s">
        <v>355</v>
      </c>
      <c r="H155" s="1" t="n">
        <v>0</v>
      </c>
      <c r="I155" s="1" t="s">
        <v>16</v>
      </c>
      <c r="L155" s="1" t="s">
        <v>356</v>
      </c>
      <c r="M155" s="1" t="str">
        <f aca="false">_xlfn.TEXTJOIN( ,0,O155,", ",N155, )</f>
        <v>30.476110458374, -91.0745391845703</v>
      </c>
      <c r="N155" s="1" t="n">
        <v>-91.0745391845703</v>
      </c>
      <c r="O155" s="1" t="n">
        <v>30.476110458374</v>
      </c>
      <c r="P155" s="1" t="s">
        <v>24</v>
      </c>
    </row>
    <row r="156" customFormat="false" ht="15" hidden="false" customHeight="false" outlineLevel="0" collapsed="false">
      <c r="A156" s="1" t="n">
        <v>155</v>
      </c>
      <c r="B156" s="1" t="n">
        <v>1</v>
      </c>
      <c r="C156" s="1" t="n">
        <v>2276</v>
      </c>
      <c r="D156" s="1" t="n">
        <v>1</v>
      </c>
      <c r="E156" s="1" t="s">
        <v>357</v>
      </c>
      <c r="F156" s="1" t="s">
        <v>16</v>
      </c>
      <c r="H156" s="1" t="n">
        <v>0</v>
      </c>
      <c r="I156" s="1" t="s">
        <v>16</v>
      </c>
      <c r="L156" s="1" t="s">
        <v>358</v>
      </c>
      <c r="M156" s="1" t="str">
        <f aca="false">_xlfn.TEXTJOIN( ,0,O156,", ",N156, )</f>
        <v>30.4045104980469, -91.1683807373047</v>
      </c>
      <c r="N156" s="1" t="n">
        <v>-91.1683807373047</v>
      </c>
      <c r="O156" s="1" t="n">
        <v>30.4045104980469</v>
      </c>
      <c r="P156" s="1" t="s">
        <v>24</v>
      </c>
    </row>
    <row r="157" customFormat="false" ht="15" hidden="false" customHeight="false" outlineLevel="0" collapsed="false">
      <c r="A157" s="1" t="n">
        <v>156</v>
      </c>
      <c r="B157" s="1" t="n">
        <v>1</v>
      </c>
      <c r="C157" s="1" t="n">
        <v>2277</v>
      </c>
      <c r="D157" s="1" t="n">
        <v>1</v>
      </c>
      <c r="E157" s="1" t="s">
        <v>359</v>
      </c>
      <c r="F157" s="1" t="s">
        <v>16</v>
      </c>
      <c r="H157" s="1" t="n">
        <v>0</v>
      </c>
      <c r="I157" s="1" t="s">
        <v>16</v>
      </c>
      <c r="L157" s="1" t="s">
        <v>23</v>
      </c>
      <c r="M157" s="1" t="str">
        <f aca="false">_xlfn.TEXTJOIN( ,0,O157,", ",N157, )</f>
        <v>30.4433307647705, -91.1874771118164</v>
      </c>
      <c r="N157" s="1" t="n">
        <v>-91.1874771118164</v>
      </c>
      <c r="O157" s="1" t="n">
        <v>30.4433307647705</v>
      </c>
      <c r="P157" s="1" t="s">
        <v>24</v>
      </c>
    </row>
    <row r="158" customFormat="false" ht="15" hidden="false" customHeight="false" outlineLevel="0" collapsed="false">
      <c r="A158" s="1" t="n">
        <v>157</v>
      </c>
      <c r="B158" s="1" t="n">
        <v>1</v>
      </c>
      <c r="C158" s="1" t="n">
        <v>2278</v>
      </c>
      <c r="D158" s="1" t="n">
        <v>1</v>
      </c>
      <c r="E158" s="1" t="s">
        <v>360</v>
      </c>
      <c r="F158" s="1" t="s">
        <v>16</v>
      </c>
      <c r="H158" s="1" t="n">
        <v>0</v>
      </c>
      <c r="I158" s="1" t="s">
        <v>16</v>
      </c>
      <c r="L158" s="1" t="s">
        <v>319</v>
      </c>
      <c r="M158" s="1" t="str">
        <f aca="false">_xlfn.TEXTJOIN( ,0,O158,", ",N158, )</f>
        <v>30.451810836792, -91.1769790649414</v>
      </c>
      <c r="N158" s="1" t="n">
        <v>-91.1769790649414</v>
      </c>
      <c r="O158" s="1" t="n">
        <v>30.451810836792</v>
      </c>
      <c r="P158" s="1" t="s">
        <v>24</v>
      </c>
    </row>
    <row r="159" customFormat="false" ht="15" hidden="false" customHeight="false" outlineLevel="0" collapsed="false">
      <c r="A159" s="1" t="n">
        <v>158</v>
      </c>
      <c r="B159" s="1" t="n">
        <v>1</v>
      </c>
      <c r="C159" s="1" t="n">
        <v>2279</v>
      </c>
      <c r="D159" s="1" t="n">
        <v>1</v>
      </c>
      <c r="E159" s="1" t="s">
        <v>361</v>
      </c>
      <c r="F159" s="1" t="s">
        <v>362</v>
      </c>
      <c r="G159" s="1" t="s">
        <v>363</v>
      </c>
      <c r="H159" s="1" t="n">
        <v>21000</v>
      </c>
      <c r="I159" s="1" t="s">
        <v>364</v>
      </c>
      <c r="L159" s="1" t="s">
        <v>365</v>
      </c>
      <c r="M159" s="1" t="str">
        <f aca="false">_xlfn.TEXTJOIN( ,0,O159,", ",N159, )</f>
        <v>30.544900894165, -91.1660232543945</v>
      </c>
      <c r="N159" s="1" t="n">
        <v>-91.1660232543945</v>
      </c>
      <c r="O159" s="1" t="n">
        <v>30.544900894165</v>
      </c>
      <c r="P159" s="1" t="s">
        <v>24</v>
      </c>
    </row>
    <row r="160" customFormat="false" ht="15" hidden="false" customHeight="false" outlineLevel="0" collapsed="false">
      <c r="A160" s="1" t="n">
        <v>159</v>
      </c>
      <c r="B160" s="1" t="n">
        <v>1</v>
      </c>
      <c r="C160" s="1" t="n">
        <v>2280</v>
      </c>
      <c r="D160" s="1" t="n">
        <v>1</v>
      </c>
      <c r="E160" s="1" t="s">
        <v>366</v>
      </c>
      <c r="F160" s="1" t="s">
        <v>16</v>
      </c>
      <c r="H160" s="1" t="n">
        <v>0</v>
      </c>
      <c r="I160" s="1" t="s">
        <v>16</v>
      </c>
      <c r="L160" s="1" t="s">
        <v>367</v>
      </c>
      <c r="M160" s="1" t="str">
        <f aca="false">_xlfn.TEXTJOIN( ,0,O160,", ",N160, )</f>
        <v>30.5018978118897, -91.1055221557617</v>
      </c>
      <c r="N160" s="1" t="n">
        <v>-91.1055221557617</v>
      </c>
      <c r="O160" s="1" t="n">
        <v>30.5018978118897</v>
      </c>
      <c r="P160" s="1" t="s">
        <v>24</v>
      </c>
    </row>
    <row r="161" customFormat="false" ht="15" hidden="false" customHeight="false" outlineLevel="0" collapsed="false">
      <c r="A161" s="1" t="n">
        <v>160</v>
      </c>
      <c r="B161" s="1" t="n">
        <v>1</v>
      </c>
      <c r="C161" s="1" t="n">
        <v>2281</v>
      </c>
      <c r="D161" s="1" t="n">
        <v>1</v>
      </c>
      <c r="E161" s="1" t="s">
        <v>368</v>
      </c>
      <c r="F161" s="1" t="s">
        <v>16</v>
      </c>
      <c r="H161" s="1" t="n">
        <v>0</v>
      </c>
      <c r="I161" s="1" t="s">
        <v>16</v>
      </c>
      <c r="L161" s="1" t="s">
        <v>369</v>
      </c>
      <c r="M161" s="1" t="str">
        <f aca="false">_xlfn.TEXTJOIN( ,0,O161,", ",N161, )</f>
        <v>30.4629001617432, -91.1659774780273</v>
      </c>
      <c r="N161" s="1" t="n">
        <v>-91.1659774780273</v>
      </c>
      <c r="O161" s="1" t="n">
        <v>30.4629001617432</v>
      </c>
      <c r="P161" s="1" t="s">
        <v>24</v>
      </c>
    </row>
    <row r="162" customFormat="false" ht="15" hidden="false" customHeight="false" outlineLevel="0" collapsed="false">
      <c r="A162" s="1" t="n">
        <v>161</v>
      </c>
      <c r="B162" s="1" t="n">
        <v>1</v>
      </c>
      <c r="C162" s="1" t="n">
        <v>2282</v>
      </c>
      <c r="D162" s="1" t="n">
        <v>1</v>
      </c>
      <c r="E162" s="1" t="s">
        <v>370</v>
      </c>
      <c r="F162" s="1" t="s">
        <v>16</v>
      </c>
      <c r="H162" s="1" t="n">
        <v>0</v>
      </c>
      <c r="I162" s="1" t="s">
        <v>16</v>
      </c>
      <c r="L162" s="1" t="s">
        <v>23</v>
      </c>
      <c r="M162" s="1" t="str">
        <f aca="false">_xlfn.TEXTJOIN( ,0,O162,", ",N162, )</f>
        <v>30.4433307647705, -91.1874771118164</v>
      </c>
      <c r="N162" s="1" t="n">
        <v>-91.1874771118164</v>
      </c>
      <c r="O162" s="1" t="n">
        <v>30.4433307647705</v>
      </c>
      <c r="P162" s="1" t="s">
        <v>24</v>
      </c>
    </row>
    <row r="163" customFormat="false" ht="15" hidden="false" customHeight="false" outlineLevel="0" collapsed="false">
      <c r="A163" s="1" t="n">
        <v>162</v>
      </c>
      <c r="B163" s="1" t="n">
        <v>1</v>
      </c>
      <c r="C163" s="1" t="n">
        <v>2283</v>
      </c>
      <c r="D163" s="1" t="n">
        <v>1</v>
      </c>
      <c r="E163" s="1" t="s">
        <v>371</v>
      </c>
      <c r="F163" s="1" t="s">
        <v>16</v>
      </c>
      <c r="H163" s="1" t="n">
        <v>0</v>
      </c>
      <c r="I163" s="1" t="s">
        <v>16</v>
      </c>
      <c r="L163" s="1" t="s">
        <v>23</v>
      </c>
      <c r="M163" s="1" t="str">
        <f aca="false">_xlfn.TEXTJOIN( ,0,O163,", ",N163, )</f>
        <v>30.4433307647705, -91.1874771118164</v>
      </c>
      <c r="N163" s="1" t="n">
        <v>-91.1874771118164</v>
      </c>
      <c r="O163" s="1" t="n">
        <v>30.4433307647705</v>
      </c>
      <c r="P163" s="1" t="s">
        <v>24</v>
      </c>
    </row>
    <row r="164" customFormat="false" ht="15" hidden="false" customHeight="false" outlineLevel="0" collapsed="false">
      <c r="A164" s="1" t="n">
        <v>163</v>
      </c>
      <c r="B164" s="1" t="n">
        <v>1</v>
      </c>
      <c r="C164" s="1" t="n">
        <v>2284</v>
      </c>
      <c r="D164" s="1" t="n">
        <v>1</v>
      </c>
      <c r="E164" s="1" t="s">
        <v>372</v>
      </c>
      <c r="F164" s="1" t="s">
        <v>16</v>
      </c>
      <c r="H164" s="1" t="n">
        <v>0</v>
      </c>
      <c r="I164" s="1" t="s">
        <v>16</v>
      </c>
      <c r="L164" s="1" t="s">
        <v>373</v>
      </c>
      <c r="M164" s="1" t="str">
        <f aca="false">_xlfn.TEXTJOIN( ,0,O164,", ",N164, )</f>
        <v>30.4326934814453, -91.1879730224609</v>
      </c>
      <c r="N164" s="1" t="n">
        <v>-91.1879730224609</v>
      </c>
      <c r="O164" s="1" t="n">
        <v>30.4326934814453</v>
      </c>
      <c r="P164" s="1" t="s">
        <v>24</v>
      </c>
    </row>
    <row r="165" customFormat="false" ht="15" hidden="false" customHeight="false" outlineLevel="0" collapsed="false">
      <c r="A165" s="1" t="n">
        <v>164</v>
      </c>
      <c r="B165" s="1" t="n">
        <v>1</v>
      </c>
      <c r="C165" s="1" t="n">
        <v>2285</v>
      </c>
      <c r="D165" s="1" t="n">
        <v>1</v>
      </c>
      <c r="E165" s="1" t="s">
        <v>374</v>
      </c>
      <c r="F165" s="1" t="s">
        <v>16</v>
      </c>
      <c r="H165" s="1" t="n">
        <v>0</v>
      </c>
      <c r="I165" s="1" t="s">
        <v>16</v>
      </c>
      <c r="L165" s="1" t="s">
        <v>23</v>
      </c>
      <c r="M165" s="1" t="str">
        <f aca="false">_xlfn.TEXTJOIN( ,0,O165,", ",N165, )</f>
        <v>30.4433307647705, -91.1874771118164</v>
      </c>
      <c r="N165" s="1" t="n">
        <v>-91.1874771118164</v>
      </c>
      <c r="O165" s="1" t="n">
        <v>30.4433307647705</v>
      </c>
      <c r="P165" s="1" t="s">
        <v>24</v>
      </c>
    </row>
    <row r="166" customFormat="false" ht="15" hidden="false" customHeight="false" outlineLevel="0" collapsed="false">
      <c r="A166" s="1" t="n">
        <v>165</v>
      </c>
      <c r="B166" s="1" t="n">
        <v>1</v>
      </c>
      <c r="C166" s="1" t="n">
        <v>2286</v>
      </c>
      <c r="D166" s="1" t="n">
        <v>1</v>
      </c>
      <c r="E166" s="1" t="s">
        <v>375</v>
      </c>
      <c r="F166" s="1" t="s">
        <v>16</v>
      </c>
      <c r="H166" s="1" t="n">
        <v>0</v>
      </c>
      <c r="I166" s="1" t="s">
        <v>16</v>
      </c>
      <c r="L166" s="1" t="s">
        <v>376</v>
      </c>
      <c r="M166" s="1" t="str">
        <f aca="false">_xlfn.TEXTJOIN( ,0,O166,", ",N166, )</f>
        <v>30.4536685943604, -91.1567840576172</v>
      </c>
      <c r="N166" s="1" t="n">
        <v>-91.1567840576172</v>
      </c>
      <c r="O166" s="1" t="n">
        <v>30.4536685943604</v>
      </c>
      <c r="P166" s="1" t="s">
        <v>24</v>
      </c>
    </row>
    <row r="167" customFormat="false" ht="15" hidden="false" customHeight="false" outlineLevel="0" collapsed="false">
      <c r="A167" s="1" t="n">
        <v>166</v>
      </c>
      <c r="B167" s="1" t="n">
        <v>1</v>
      </c>
      <c r="C167" s="1" t="n">
        <v>2287</v>
      </c>
      <c r="D167" s="1" t="n">
        <v>1</v>
      </c>
      <c r="E167" s="1" t="s">
        <v>377</v>
      </c>
      <c r="F167" s="1" t="s">
        <v>16</v>
      </c>
      <c r="H167" s="1" t="n">
        <v>0</v>
      </c>
      <c r="I167" s="1" t="s">
        <v>16</v>
      </c>
      <c r="L167" s="1" t="s">
        <v>378</v>
      </c>
      <c r="M167" s="1" t="str">
        <f aca="false">_xlfn.TEXTJOIN( ,0,O167,", ",N167, )</f>
        <v>30.4539299011231, -91.1672821044922</v>
      </c>
      <c r="N167" s="1" t="n">
        <v>-91.1672821044922</v>
      </c>
      <c r="O167" s="1" t="n">
        <v>30.4539299011231</v>
      </c>
      <c r="P167" s="1" t="s">
        <v>24</v>
      </c>
    </row>
    <row r="168" customFormat="false" ht="15" hidden="false" customHeight="false" outlineLevel="0" collapsed="false">
      <c r="A168" s="1" t="n">
        <v>167</v>
      </c>
      <c r="B168" s="1" t="n">
        <v>1</v>
      </c>
      <c r="C168" s="1" t="n">
        <v>2288</v>
      </c>
      <c r="D168" s="1" t="n">
        <v>1</v>
      </c>
      <c r="E168" s="1" t="s">
        <v>379</v>
      </c>
      <c r="F168" s="1" t="s">
        <v>380</v>
      </c>
      <c r="H168" s="1" t="s">
        <v>37</v>
      </c>
      <c r="L168" s="1" t="s">
        <v>381</v>
      </c>
      <c r="M168" s="1" t="str">
        <f aca="false">_xlfn.TEXTJOIN( ,0,O168,", ",N168, )</f>
        <v>30.5138607025147, -91.178581237793</v>
      </c>
      <c r="N168" s="1" t="n">
        <v>-91.178581237793</v>
      </c>
      <c r="O168" s="1" t="n">
        <v>30.5138607025147</v>
      </c>
      <c r="P168" s="1" t="s">
        <v>24</v>
      </c>
    </row>
    <row r="169" customFormat="false" ht="15" hidden="false" customHeight="false" outlineLevel="0" collapsed="false">
      <c r="A169" s="1" t="n">
        <v>168</v>
      </c>
      <c r="B169" s="1" t="n">
        <v>1</v>
      </c>
      <c r="C169" s="1" t="n">
        <v>2289</v>
      </c>
      <c r="D169" s="1" t="n">
        <v>1</v>
      </c>
      <c r="E169" s="1" t="s">
        <v>382</v>
      </c>
      <c r="F169" s="1" t="s">
        <v>383</v>
      </c>
      <c r="H169" s="1" t="n">
        <v>0</v>
      </c>
      <c r="I169" s="1" t="s">
        <v>16</v>
      </c>
      <c r="L169" s="1" t="s">
        <v>384</v>
      </c>
      <c r="M169" s="1" t="str">
        <f aca="false">_xlfn.TEXTJOIN( ,0,O169,", ",N169, )</f>
        <v>30.5845394134522, -91.2474822998047</v>
      </c>
      <c r="N169" s="1" t="n">
        <v>-91.2474822998047</v>
      </c>
      <c r="O169" s="1" t="n">
        <v>30.5845394134522</v>
      </c>
      <c r="P169" s="1" t="s">
        <v>24</v>
      </c>
    </row>
    <row r="170" customFormat="false" ht="15" hidden="false" customHeight="false" outlineLevel="0" collapsed="false">
      <c r="A170" s="1" t="n">
        <v>169</v>
      </c>
      <c r="B170" s="1" t="n">
        <v>1</v>
      </c>
      <c r="C170" s="1" t="n">
        <v>2290</v>
      </c>
      <c r="D170" s="1" t="n">
        <v>1</v>
      </c>
      <c r="E170" s="1" t="s">
        <v>385</v>
      </c>
      <c r="F170" s="1" t="s">
        <v>16</v>
      </c>
      <c r="H170" s="1" t="n">
        <v>0</v>
      </c>
      <c r="I170" s="1" t="s">
        <v>16</v>
      </c>
      <c r="L170" s="1" t="s">
        <v>386</v>
      </c>
      <c r="M170" s="1" t="str">
        <f aca="false">_xlfn.TEXTJOIN( ,0,O170,", ",N170, )</f>
        <v>30.451250076294, -91.177619934082</v>
      </c>
      <c r="N170" s="1" t="n">
        <v>-91.177619934082</v>
      </c>
      <c r="O170" s="1" t="n">
        <v>30.451250076294</v>
      </c>
      <c r="P170" s="1" t="s">
        <v>24</v>
      </c>
    </row>
    <row r="171" customFormat="false" ht="15" hidden="false" customHeight="false" outlineLevel="0" collapsed="false">
      <c r="A171" s="1" t="n">
        <v>170</v>
      </c>
      <c r="B171" s="1" t="n">
        <v>1</v>
      </c>
      <c r="C171" s="1" t="n">
        <v>2291</v>
      </c>
      <c r="D171" s="1" t="n">
        <v>1</v>
      </c>
      <c r="E171" s="1" t="s">
        <v>387</v>
      </c>
      <c r="F171" s="1" t="s">
        <v>16</v>
      </c>
      <c r="H171" s="1" t="n">
        <v>0</v>
      </c>
      <c r="I171" s="1" t="s">
        <v>16</v>
      </c>
      <c r="L171" s="1" t="s">
        <v>388</v>
      </c>
      <c r="M171" s="1" t="str">
        <f aca="false">_xlfn.TEXTJOIN( ,0,O171,", ",N171, )</f>
        <v>30.4824237823486, -91.1924285888672</v>
      </c>
      <c r="N171" s="1" t="n">
        <v>-91.1924285888672</v>
      </c>
      <c r="O171" s="1" t="n">
        <v>30.4824237823486</v>
      </c>
      <c r="P171" s="1" t="s">
        <v>24</v>
      </c>
    </row>
    <row r="172" customFormat="false" ht="15" hidden="false" customHeight="false" outlineLevel="0" collapsed="false">
      <c r="A172" s="1" t="n">
        <v>171</v>
      </c>
      <c r="B172" s="1" t="n">
        <v>1</v>
      </c>
      <c r="C172" s="1" t="n">
        <v>2292</v>
      </c>
      <c r="D172" s="1" t="n">
        <v>1</v>
      </c>
      <c r="E172" s="1" t="s">
        <v>389</v>
      </c>
      <c r="F172" s="1" t="s">
        <v>390</v>
      </c>
      <c r="H172" s="1" t="s">
        <v>37</v>
      </c>
      <c r="L172" s="1" t="s">
        <v>391</v>
      </c>
      <c r="M172" s="1" t="str">
        <f aca="false">_xlfn.TEXTJOIN( ,0,O172,", ",N172, )</f>
        <v>30.3766899108887, -91.0486221313477</v>
      </c>
      <c r="N172" s="1" t="n">
        <v>-91.0486221313477</v>
      </c>
      <c r="O172" s="1" t="n">
        <v>30.3766899108887</v>
      </c>
      <c r="P172" s="1" t="s">
        <v>24</v>
      </c>
    </row>
    <row r="173" customFormat="false" ht="15" hidden="false" customHeight="false" outlineLevel="0" collapsed="false">
      <c r="A173" s="1" t="n">
        <v>172</v>
      </c>
      <c r="B173" s="1" t="n">
        <v>1</v>
      </c>
      <c r="C173" s="1" t="n">
        <v>2293</v>
      </c>
      <c r="D173" s="1" t="n">
        <v>1</v>
      </c>
      <c r="E173" s="1" t="s">
        <v>392</v>
      </c>
      <c r="F173" s="1" t="s">
        <v>54</v>
      </c>
      <c r="H173" s="1" t="n">
        <v>0</v>
      </c>
      <c r="I173" s="1" t="s">
        <v>16</v>
      </c>
      <c r="L173" s="1" t="s">
        <v>391</v>
      </c>
      <c r="M173" s="1" t="str">
        <f aca="false">_xlfn.TEXTJOIN( ,0,O173,", ",N173, )</f>
        <v>30.3766899108887, -91.0486221313477</v>
      </c>
      <c r="N173" s="1" t="n">
        <v>-91.0486221313477</v>
      </c>
      <c r="O173" s="1" t="n">
        <v>30.3766899108887</v>
      </c>
      <c r="P173" s="1" t="s">
        <v>24</v>
      </c>
    </row>
    <row r="174" customFormat="false" ht="15" hidden="false" customHeight="false" outlineLevel="0" collapsed="false">
      <c r="A174" s="1" t="n">
        <v>173</v>
      </c>
      <c r="B174" s="1" t="n">
        <v>1</v>
      </c>
      <c r="C174" s="1" t="n">
        <v>2294</v>
      </c>
      <c r="D174" s="1" t="n">
        <v>1</v>
      </c>
      <c r="E174" s="1" t="s">
        <v>393</v>
      </c>
      <c r="F174" s="1" t="s">
        <v>394</v>
      </c>
      <c r="H174" s="1" t="s">
        <v>37</v>
      </c>
      <c r="L174" s="1" t="s">
        <v>395</v>
      </c>
      <c r="M174" s="1" t="str">
        <f aca="false">_xlfn.TEXTJOIN( ,0,O174,", ",N174, )</f>
        <v>30.5834808349609, -91.2405471801758</v>
      </c>
      <c r="N174" s="1" t="n">
        <v>-91.2405471801758</v>
      </c>
      <c r="O174" s="1" t="n">
        <v>30.5834808349609</v>
      </c>
      <c r="P174" s="1" t="s">
        <v>24</v>
      </c>
    </row>
    <row r="175" customFormat="false" ht="15" hidden="false" customHeight="false" outlineLevel="0" collapsed="false">
      <c r="A175" s="1" t="n">
        <v>174</v>
      </c>
      <c r="B175" s="1" t="n">
        <v>1</v>
      </c>
      <c r="C175" s="1" t="n">
        <v>2295</v>
      </c>
      <c r="D175" s="1" t="n">
        <v>1</v>
      </c>
      <c r="E175" s="1" t="s">
        <v>396</v>
      </c>
      <c r="F175" s="1" t="s">
        <v>16</v>
      </c>
      <c r="H175" s="1" t="n">
        <v>0</v>
      </c>
      <c r="I175" s="1" t="s">
        <v>16</v>
      </c>
      <c r="L175" s="1" t="s">
        <v>397</v>
      </c>
      <c r="M175" s="1" t="str">
        <f aca="false">_xlfn.TEXTJOIN( ,0,O175,", ",N175, )</f>
        <v>30.4357109069824, -91.1849212646484</v>
      </c>
      <c r="N175" s="1" t="n">
        <v>-91.1849212646484</v>
      </c>
      <c r="O175" s="1" t="n">
        <v>30.4357109069824</v>
      </c>
      <c r="P175" s="1" t="s">
        <v>24</v>
      </c>
    </row>
    <row r="176" customFormat="false" ht="15" hidden="false" customHeight="false" outlineLevel="0" collapsed="false">
      <c r="A176" s="1" t="n">
        <v>175</v>
      </c>
      <c r="B176" s="1" t="n">
        <v>1</v>
      </c>
      <c r="C176" s="1" t="n">
        <v>2296</v>
      </c>
      <c r="D176" s="1" t="n">
        <v>1</v>
      </c>
      <c r="E176" s="1" t="s">
        <v>398</v>
      </c>
      <c r="F176" s="1" t="s">
        <v>16</v>
      </c>
      <c r="H176" s="1" t="n">
        <v>0</v>
      </c>
      <c r="I176" s="1" t="s">
        <v>16</v>
      </c>
      <c r="L176" s="1" t="s">
        <v>399</v>
      </c>
      <c r="M176" s="1" t="str">
        <f aca="false">_xlfn.TEXTJOIN( ,0,O176,", ",N176, )</f>
        <v>30.4101791381836, -91.0514068603516</v>
      </c>
      <c r="N176" s="1" t="n">
        <v>-91.0514068603516</v>
      </c>
      <c r="O176" s="1" t="n">
        <v>30.4101791381836</v>
      </c>
      <c r="P176" s="1" t="s">
        <v>24</v>
      </c>
    </row>
    <row r="177" customFormat="false" ht="15" hidden="false" customHeight="false" outlineLevel="0" collapsed="false">
      <c r="A177" s="1" t="n">
        <v>176</v>
      </c>
      <c r="B177" s="1" t="n">
        <v>1</v>
      </c>
      <c r="C177" s="1" t="n">
        <v>2297</v>
      </c>
      <c r="D177" s="1" t="n">
        <v>1</v>
      </c>
      <c r="E177" s="1" t="s">
        <v>400</v>
      </c>
      <c r="F177" s="1" t="s">
        <v>16</v>
      </c>
      <c r="H177" s="1" t="n">
        <v>0</v>
      </c>
      <c r="I177" s="1" t="s">
        <v>16</v>
      </c>
      <c r="L177" s="1" t="s">
        <v>401</v>
      </c>
      <c r="M177" s="1" t="str">
        <f aca="false">_xlfn.TEXTJOIN( ,0,O177,", ",N177, )</f>
        <v>30.4639892578125, -91.165641784668</v>
      </c>
      <c r="N177" s="1" t="n">
        <v>-91.165641784668</v>
      </c>
      <c r="O177" s="1" t="n">
        <v>30.4639892578125</v>
      </c>
      <c r="P177" s="1" t="s">
        <v>24</v>
      </c>
    </row>
    <row r="178" customFormat="false" ht="15" hidden="false" customHeight="false" outlineLevel="0" collapsed="false">
      <c r="A178" s="1" t="n">
        <v>177</v>
      </c>
      <c r="B178" s="1" t="n">
        <v>1</v>
      </c>
      <c r="C178" s="1" t="n">
        <v>2298</v>
      </c>
      <c r="D178" s="1" t="n">
        <v>1</v>
      </c>
      <c r="E178" s="1" t="s">
        <v>402</v>
      </c>
      <c r="F178" s="1" t="s">
        <v>403</v>
      </c>
      <c r="H178" s="1" t="s">
        <v>37</v>
      </c>
      <c r="L178" s="1" t="s">
        <v>404</v>
      </c>
      <c r="M178" s="1" t="str">
        <f aca="false">_xlfn.TEXTJOIN( ,0,O178,", ",N178, )</f>
        <v>30.3896331787109, -91.0701904296875</v>
      </c>
      <c r="N178" s="1" t="n">
        <v>-91.0701904296875</v>
      </c>
      <c r="O178" s="1" t="n">
        <v>30.3896331787109</v>
      </c>
      <c r="P178" s="1" t="s">
        <v>24</v>
      </c>
    </row>
    <row r="179" customFormat="false" ht="15" hidden="false" customHeight="false" outlineLevel="0" collapsed="false">
      <c r="A179" s="1" t="n">
        <v>178</v>
      </c>
      <c r="B179" s="1" t="n">
        <v>1</v>
      </c>
      <c r="C179" s="1" t="n">
        <v>2299</v>
      </c>
      <c r="D179" s="1" t="n">
        <v>1</v>
      </c>
      <c r="E179" s="1" t="s">
        <v>405</v>
      </c>
      <c r="F179" s="1" t="s">
        <v>16</v>
      </c>
      <c r="H179" s="1" t="n">
        <v>0</v>
      </c>
      <c r="I179" s="1" t="s">
        <v>16</v>
      </c>
      <c r="L179" s="1" t="s">
        <v>23</v>
      </c>
      <c r="M179" s="1" t="str">
        <f aca="false">_xlfn.TEXTJOIN( ,0,O179,", ",N179, )</f>
        <v>30.4433307647705, -91.1874771118164</v>
      </c>
      <c r="N179" s="1" t="n">
        <v>-91.1874771118164</v>
      </c>
      <c r="O179" s="1" t="n">
        <v>30.4433307647705</v>
      </c>
      <c r="P179" s="1" t="s">
        <v>24</v>
      </c>
    </row>
    <row r="180" customFormat="false" ht="15" hidden="false" customHeight="false" outlineLevel="0" collapsed="false">
      <c r="A180" s="1" t="n">
        <v>179</v>
      </c>
      <c r="B180" s="1" t="n">
        <v>1</v>
      </c>
      <c r="C180" s="1" t="n">
        <v>2300</v>
      </c>
      <c r="D180" s="1" t="n">
        <v>1</v>
      </c>
      <c r="E180" s="1" t="s">
        <v>406</v>
      </c>
      <c r="F180" s="1" t="s">
        <v>16</v>
      </c>
      <c r="H180" s="1" t="n">
        <v>0</v>
      </c>
      <c r="I180" s="1" t="s">
        <v>16</v>
      </c>
      <c r="L180" s="1" t="s">
        <v>407</v>
      </c>
      <c r="M180" s="1" t="str">
        <f aca="false">_xlfn.TEXTJOIN( ,0,O180,", ",N180, )</f>
        <v>30.4914894104004, -91.1233825683594</v>
      </c>
      <c r="N180" s="1" t="n">
        <v>-91.1233825683594</v>
      </c>
      <c r="O180" s="1" t="n">
        <v>30.4914894104004</v>
      </c>
      <c r="P180" s="1" t="s">
        <v>24</v>
      </c>
    </row>
    <row r="181" customFormat="false" ht="15" hidden="false" customHeight="false" outlineLevel="0" collapsed="false">
      <c r="A181" s="1" t="n">
        <v>180</v>
      </c>
      <c r="B181" s="1" t="n">
        <v>1</v>
      </c>
      <c r="C181" s="1" t="n">
        <v>2301</v>
      </c>
      <c r="D181" s="1" t="n">
        <v>1</v>
      </c>
      <c r="E181" s="1" t="s">
        <v>408</v>
      </c>
      <c r="F181" s="1" t="s">
        <v>409</v>
      </c>
      <c r="H181" s="1" t="n">
        <v>0</v>
      </c>
      <c r="I181" s="1" t="s">
        <v>16</v>
      </c>
      <c r="L181" s="1" t="s">
        <v>410</v>
      </c>
      <c r="M181" s="1" t="str">
        <f aca="false">_xlfn.TEXTJOIN( ,0,O181,", ",N181, )</f>
        <v>30.4162292480469, -91.137565612793</v>
      </c>
      <c r="N181" s="1" t="n">
        <v>-91.137565612793</v>
      </c>
      <c r="O181" s="1" t="n">
        <v>30.4162292480469</v>
      </c>
      <c r="P181" s="1" t="s">
        <v>24</v>
      </c>
    </row>
    <row r="182" customFormat="false" ht="15" hidden="false" customHeight="false" outlineLevel="0" collapsed="false">
      <c r="A182" s="1" t="n">
        <v>181</v>
      </c>
      <c r="B182" s="1" t="n">
        <v>1</v>
      </c>
      <c r="C182" s="1" t="n">
        <v>2302</v>
      </c>
      <c r="D182" s="1" t="n">
        <v>1</v>
      </c>
      <c r="E182" s="1" t="s">
        <v>411</v>
      </c>
      <c r="F182" s="1" t="s">
        <v>16</v>
      </c>
      <c r="H182" s="1" t="n">
        <v>0</v>
      </c>
      <c r="I182" s="1" t="s">
        <v>16</v>
      </c>
      <c r="L182" s="1" t="s">
        <v>412</v>
      </c>
      <c r="M182" s="1" t="str">
        <f aca="false">_xlfn.TEXTJOIN( ,0,O182,", ",N182, )</f>
        <v>30.3460674285889, -91.0294799804688</v>
      </c>
      <c r="N182" s="1" t="n">
        <v>-91.0294799804688</v>
      </c>
      <c r="O182" s="1" t="n">
        <v>30.3460674285889</v>
      </c>
      <c r="P182" s="1" t="s">
        <v>24</v>
      </c>
    </row>
    <row r="183" customFormat="false" ht="15" hidden="false" customHeight="false" outlineLevel="0" collapsed="false">
      <c r="A183" s="1" t="n">
        <v>182</v>
      </c>
      <c r="B183" s="1" t="n">
        <v>1</v>
      </c>
      <c r="C183" s="1" t="n">
        <v>2303</v>
      </c>
      <c r="D183" s="1" t="n">
        <v>1</v>
      </c>
      <c r="E183" s="1" t="s">
        <v>413</v>
      </c>
      <c r="F183" s="1" t="s">
        <v>16</v>
      </c>
      <c r="H183" s="1" t="n">
        <v>0</v>
      </c>
      <c r="I183" s="1" t="s">
        <v>16</v>
      </c>
      <c r="L183" s="1" t="s">
        <v>414</v>
      </c>
      <c r="M183" s="1" t="str">
        <f aca="false">_xlfn.TEXTJOIN( ,0,O183,", ",N183, )</f>
        <v>30.5152111053467, -91.1787643432617</v>
      </c>
      <c r="N183" s="1" t="n">
        <v>-91.1787643432617</v>
      </c>
      <c r="O183" s="1" t="n">
        <v>30.5152111053467</v>
      </c>
      <c r="P183" s="1" t="s">
        <v>24</v>
      </c>
    </row>
    <row r="184" customFormat="false" ht="15" hidden="false" customHeight="false" outlineLevel="0" collapsed="false">
      <c r="A184" s="1" t="n">
        <v>183</v>
      </c>
      <c r="B184" s="1" t="n">
        <v>1</v>
      </c>
      <c r="C184" s="1" t="n">
        <v>2304</v>
      </c>
      <c r="D184" s="1" t="n">
        <v>1</v>
      </c>
      <c r="E184" s="1" t="s">
        <v>415</v>
      </c>
      <c r="F184" s="1" t="s">
        <v>416</v>
      </c>
      <c r="G184" s="1" t="s">
        <v>417</v>
      </c>
      <c r="H184" s="1" t="n">
        <v>0</v>
      </c>
      <c r="I184" s="1" t="s">
        <v>16</v>
      </c>
      <c r="L184" s="1" t="s">
        <v>418</v>
      </c>
      <c r="M184" s="1" t="str">
        <f aca="false">_xlfn.TEXTJOIN( ,0,O184,", ",N184, )</f>
        <v>30.5579299926758, -91.2013168334961</v>
      </c>
      <c r="N184" s="1" t="n">
        <v>-91.2013168334961</v>
      </c>
      <c r="O184" s="1" t="n">
        <v>30.5579299926758</v>
      </c>
      <c r="P184" s="1" t="s">
        <v>24</v>
      </c>
    </row>
    <row r="185" customFormat="false" ht="15" hidden="false" customHeight="false" outlineLevel="0" collapsed="false">
      <c r="A185" s="1" t="n">
        <v>184</v>
      </c>
      <c r="B185" s="1" t="n">
        <v>1</v>
      </c>
      <c r="C185" s="1" t="n">
        <v>2305</v>
      </c>
      <c r="D185" s="1" t="n">
        <v>1</v>
      </c>
      <c r="E185" s="1" t="s">
        <v>419</v>
      </c>
      <c r="F185" s="1" t="s">
        <v>420</v>
      </c>
      <c r="H185" s="1" t="n">
        <v>440</v>
      </c>
      <c r="I185" s="1" t="s">
        <v>421</v>
      </c>
      <c r="L185" s="1" t="s">
        <v>422</v>
      </c>
      <c r="M185" s="1" t="str">
        <f aca="false">_xlfn.TEXTJOIN( ,0,O185,", ",N185, )</f>
        <v>30.4683704376221, -91.1884918212891</v>
      </c>
      <c r="N185" s="1" t="n">
        <v>-91.1884918212891</v>
      </c>
      <c r="O185" s="1" t="n">
        <v>30.4683704376221</v>
      </c>
      <c r="P185" s="1" t="s">
        <v>24</v>
      </c>
    </row>
    <row r="186" customFormat="false" ht="15" hidden="false" customHeight="false" outlineLevel="0" collapsed="false">
      <c r="A186" s="1" t="n">
        <v>185</v>
      </c>
      <c r="B186" s="1" t="n">
        <v>1</v>
      </c>
      <c r="C186" s="1" t="n">
        <v>2306</v>
      </c>
      <c r="D186" s="1" t="n">
        <v>1</v>
      </c>
      <c r="E186" s="1" t="s">
        <v>423</v>
      </c>
      <c r="F186" s="1" t="s">
        <v>16</v>
      </c>
      <c r="H186" s="1" t="n">
        <v>0</v>
      </c>
      <c r="I186" s="1" t="s">
        <v>16</v>
      </c>
      <c r="L186" s="1" t="s">
        <v>424</v>
      </c>
      <c r="M186" s="1" t="str">
        <f aca="false">_xlfn.TEXTJOIN( ,0,O186,", ",N186, )</f>
        <v>30.4882144927979, -91.1695709228516</v>
      </c>
      <c r="N186" s="1" t="n">
        <v>-91.1695709228516</v>
      </c>
      <c r="O186" s="1" t="n">
        <v>30.4882144927979</v>
      </c>
      <c r="P186" s="1" t="s">
        <v>24</v>
      </c>
    </row>
    <row r="187" customFormat="false" ht="15" hidden="false" customHeight="false" outlineLevel="0" collapsed="false">
      <c r="A187" s="1" t="n">
        <v>186</v>
      </c>
      <c r="B187" s="1" t="n">
        <v>1</v>
      </c>
      <c r="C187" s="1" t="n">
        <v>2307</v>
      </c>
      <c r="D187" s="1" t="n">
        <v>1</v>
      </c>
      <c r="E187" s="1" t="s">
        <v>425</v>
      </c>
      <c r="F187" s="1" t="s">
        <v>54</v>
      </c>
      <c r="H187" s="1" t="n">
        <v>0</v>
      </c>
      <c r="I187" s="1" t="s">
        <v>16</v>
      </c>
      <c r="L187" s="1" t="s">
        <v>426</v>
      </c>
      <c r="M187" s="1" t="str">
        <f aca="false">_xlfn.TEXTJOIN( ,0,O187,", ",N187, )</f>
        <v>30.4731121063232, -91.0666427612305</v>
      </c>
      <c r="N187" s="1" t="n">
        <v>-91.0666427612305</v>
      </c>
      <c r="O187" s="1" t="n">
        <v>30.4731121063232</v>
      </c>
      <c r="P187" s="1" t="s">
        <v>24</v>
      </c>
    </row>
    <row r="188" customFormat="false" ht="15" hidden="false" customHeight="false" outlineLevel="0" collapsed="false">
      <c r="A188" s="1" t="n">
        <v>187</v>
      </c>
      <c r="B188" s="1" t="n">
        <v>1</v>
      </c>
      <c r="C188" s="1" t="n">
        <v>2308</v>
      </c>
      <c r="D188" s="1" t="n">
        <v>1</v>
      </c>
      <c r="E188" s="1" t="s">
        <v>427</v>
      </c>
      <c r="F188" s="1" t="s">
        <v>16</v>
      </c>
      <c r="H188" s="1" t="n">
        <v>0</v>
      </c>
      <c r="I188" s="1" t="s">
        <v>16</v>
      </c>
      <c r="L188" s="1" t="s">
        <v>428</v>
      </c>
      <c r="M188" s="1" t="str">
        <f aca="false">_xlfn.TEXTJOIN( ,0,O188,", ",N188, )</f>
        <v>30.5187301635742, -91.1781234741211</v>
      </c>
      <c r="N188" s="1" t="n">
        <v>-91.1781234741211</v>
      </c>
      <c r="O188" s="1" t="n">
        <v>30.5187301635742</v>
      </c>
      <c r="P188" s="1" t="s">
        <v>24</v>
      </c>
    </row>
    <row r="189" customFormat="false" ht="15" hidden="false" customHeight="false" outlineLevel="0" collapsed="false">
      <c r="A189" s="1" t="n">
        <v>188</v>
      </c>
      <c r="B189" s="1" t="n">
        <v>1</v>
      </c>
      <c r="C189" s="1" t="n">
        <v>2309</v>
      </c>
      <c r="D189" s="1" t="n">
        <v>1</v>
      </c>
      <c r="E189" s="1" t="s">
        <v>429</v>
      </c>
      <c r="F189" s="1" t="s">
        <v>430</v>
      </c>
      <c r="H189" s="1" t="s">
        <v>37</v>
      </c>
      <c r="L189" s="1" t="s">
        <v>431</v>
      </c>
      <c r="M189" s="1" t="str">
        <f aca="false">_xlfn.TEXTJOIN( ,0,O189,", ",N189, )</f>
        <v>30.4722213745117, -91.1930541992188</v>
      </c>
      <c r="N189" s="1" t="n">
        <v>-91.1930541992188</v>
      </c>
      <c r="O189" s="1" t="n">
        <v>30.4722213745117</v>
      </c>
      <c r="P189" s="1" t="s">
        <v>24</v>
      </c>
    </row>
    <row r="190" customFormat="false" ht="15" hidden="false" customHeight="false" outlineLevel="0" collapsed="false">
      <c r="A190" s="1" t="n">
        <v>189</v>
      </c>
      <c r="B190" s="1" t="n">
        <v>1</v>
      </c>
      <c r="C190" s="1" t="n">
        <v>2310</v>
      </c>
      <c r="D190" s="1" t="n">
        <v>1</v>
      </c>
      <c r="E190" s="1" t="s">
        <v>432</v>
      </c>
      <c r="F190" s="1" t="s">
        <v>433</v>
      </c>
      <c r="H190" s="1" t="s">
        <v>37</v>
      </c>
      <c r="L190" s="1" t="s">
        <v>434</v>
      </c>
      <c r="M190" s="1" t="str">
        <f aca="false">_xlfn.TEXTJOIN( ,0,O190,", ",N190, )</f>
        <v>30.4715404510498, -91.0920333862305</v>
      </c>
      <c r="N190" s="1" t="n">
        <v>-91.0920333862305</v>
      </c>
      <c r="O190" s="1" t="n">
        <v>30.4715404510498</v>
      </c>
      <c r="P190" s="1" t="s">
        <v>24</v>
      </c>
    </row>
    <row r="191" customFormat="false" ht="15" hidden="false" customHeight="false" outlineLevel="0" collapsed="false">
      <c r="A191" s="1" t="n">
        <v>190</v>
      </c>
      <c r="B191" s="1" t="n">
        <v>1</v>
      </c>
      <c r="C191" s="1" t="n">
        <v>2311</v>
      </c>
      <c r="D191" s="1" t="n">
        <v>1</v>
      </c>
      <c r="E191" s="1" t="s">
        <v>435</v>
      </c>
      <c r="F191" s="1" t="s">
        <v>54</v>
      </c>
      <c r="H191" s="1" t="n">
        <v>0</v>
      </c>
      <c r="I191" s="1" t="s">
        <v>16</v>
      </c>
      <c r="L191" s="1" t="s">
        <v>436</v>
      </c>
      <c r="M191" s="1" t="str">
        <f aca="false">_xlfn.TEXTJOIN( ,0,O191,", ",N191, )</f>
        <v>30.3497219085693, -91.1369476318359</v>
      </c>
      <c r="N191" s="1" t="n">
        <v>-91.1369476318359</v>
      </c>
      <c r="O191" s="1" t="n">
        <v>30.3497219085693</v>
      </c>
      <c r="P191" s="1" t="s">
        <v>24</v>
      </c>
    </row>
    <row r="192" customFormat="false" ht="15" hidden="false" customHeight="false" outlineLevel="0" collapsed="false">
      <c r="A192" s="1" t="n">
        <v>191</v>
      </c>
      <c r="B192" s="1" t="n">
        <v>1</v>
      </c>
      <c r="C192" s="1" t="n">
        <v>2312</v>
      </c>
      <c r="D192" s="1" t="n">
        <v>1</v>
      </c>
      <c r="E192" s="1" t="s">
        <v>437</v>
      </c>
      <c r="F192" s="1" t="s">
        <v>438</v>
      </c>
      <c r="H192" s="1" t="s">
        <v>37</v>
      </c>
      <c r="L192" s="1" t="s">
        <v>439</v>
      </c>
      <c r="M192" s="1" t="str">
        <f aca="false">_xlfn.TEXTJOIN( ,0,O192,", ",N192, )</f>
        <v>30.4684200286865, -91.1776428222656</v>
      </c>
      <c r="N192" s="1" t="n">
        <v>-91.1776428222656</v>
      </c>
      <c r="O192" s="1" t="n">
        <v>30.4684200286865</v>
      </c>
      <c r="P192" s="1" t="s">
        <v>24</v>
      </c>
    </row>
    <row r="193" customFormat="false" ht="15" hidden="false" customHeight="false" outlineLevel="0" collapsed="false">
      <c r="A193" s="1" t="n">
        <v>192</v>
      </c>
      <c r="B193" s="1" t="n">
        <v>1</v>
      </c>
      <c r="C193" s="1" t="n">
        <v>2313</v>
      </c>
      <c r="D193" s="1" t="n">
        <v>1</v>
      </c>
      <c r="E193" s="1" t="s">
        <v>440</v>
      </c>
      <c r="F193" s="1" t="s">
        <v>16</v>
      </c>
      <c r="H193" s="1" t="n">
        <v>0</v>
      </c>
      <c r="I193" s="1" t="s">
        <v>16</v>
      </c>
      <c r="L193" s="1" t="s">
        <v>441</v>
      </c>
      <c r="M193" s="1" t="str">
        <f aca="false">_xlfn.TEXTJOIN( ,0,O193,", ",N193, )</f>
        <v>30.4448394775391, -91.16796875</v>
      </c>
      <c r="N193" s="1" t="n">
        <v>-91.16796875</v>
      </c>
      <c r="O193" s="1" t="n">
        <v>30.4448394775391</v>
      </c>
      <c r="P193" s="1" t="s">
        <v>24</v>
      </c>
    </row>
    <row r="194" customFormat="false" ht="15" hidden="false" customHeight="false" outlineLevel="0" collapsed="false">
      <c r="A194" s="1" t="n">
        <v>193</v>
      </c>
      <c r="B194" s="1" t="n">
        <v>1</v>
      </c>
      <c r="C194" s="1" t="n">
        <v>2314</v>
      </c>
      <c r="D194" s="1" t="n">
        <v>1</v>
      </c>
      <c r="E194" s="1" t="s">
        <v>442</v>
      </c>
      <c r="F194" s="1" t="s">
        <v>16</v>
      </c>
      <c r="H194" s="1" t="n">
        <v>0</v>
      </c>
      <c r="I194" s="1" t="s">
        <v>16</v>
      </c>
      <c r="L194" s="1" t="s">
        <v>443</v>
      </c>
      <c r="M194" s="1" t="str">
        <f aca="false">_xlfn.TEXTJOIN( ,0,O194,", ",N194, )</f>
        <v>30.4693393707275, -91.1653823852539</v>
      </c>
      <c r="N194" s="1" t="n">
        <v>-91.1653823852539</v>
      </c>
      <c r="O194" s="1" t="n">
        <v>30.4693393707275</v>
      </c>
      <c r="P194" s="1" t="s">
        <v>24</v>
      </c>
    </row>
    <row r="195" customFormat="false" ht="15" hidden="false" customHeight="false" outlineLevel="0" collapsed="false">
      <c r="A195" s="1" t="n">
        <v>194</v>
      </c>
      <c r="B195" s="1" t="n">
        <v>1</v>
      </c>
      <c r="C195" s="1" t="n">
        <v>2315</v>
      </c>
      <c r="D195" s="1" t="n">
        <v>1</v>
      </c>
      <c r="E195" s="1" t="s">
        <v>444</v>
      </c>
      <c r="F195" s="1" t="s">
        <v>16</v>
      </c>
      <c r="H195" s="1" t="n">
        <v>0</v>
      </c>
      <c r="I195" s="1" t="s">
        <v>16</v>
      </c>
      <c r="L195" s="1" t="s">
        <v>445</v>
      </c>
      <c r="M195" s="1" t="str">
        <f aca="false">_xlfn.TEXTJOIN( ,0,O195,", ",N195, )</f>
        <v>30.4715595245361, -91.1544723510742</v>
      </c>
      <c r="N195" s="1" t="n">
        <v>-91.1544723510742</v>
      </c>
      <c r="O195" s="1" t="n">
        <v>30.4715595245361</v>
      </c>
      <c r="P195" s="1" t="s">
        <v>24</v>
      </c>
    </row>
    <row r="196" customFormat="false" ht="15" hidden="false" customHeight="false" outlineLevel="0" collapsed="false">
      <c r="A196" s="1" t="n">
        <v>195</v>
      </c>
      <c r="B196" s="1" t="n">
        <v>1</v>
      </c>
      <c r="C196" s="1" t="n">
        <v>2316</v>
      </c>
      <c r="D196" s="1" t="n">
        <v>1</v>
      </c>
      <c r="E196" s="1" t="s">
        <v>446</v>
      </c>
      <c r="F196" s="1" t="s">
        <v>16</v>
      </c>
      <c r="H196" s="1" t="n">
        <v>0</v>
      </c>
      <c r="I196" s="1" t="s">
        <v>16</v>
      </c>
      <c r="L196" s="1" t="s">
        <v>23</v>
      </c>
      <c r="M196" s="1" t="str">
        <f aca="false">_xlfn.TEXTJOIN( ,0,O196,", ",N196, )</f>
        <v>30.4433307647705, -91.1874771118164</v>
      </c>
      <c r="N196" s="1" t="n">
        <v>-91.1874771118164</v>
      </c>
      <c r="O196" s="1" t="n">
        <v>30.4433307647705</v>
      </c>
      <c r="P196" s="1" t="s">
        <v>24</v>
      </c>
    </row>
    <row r="197" customFormat="false" ht="15" hidden="false" customHeight="false" outlineLevel="0" collapsed="false">
      <c r="A197" s="1" t="n">
        <v>196</v>
      </c>
      <c r="B197" s="1" t="n">
        <v>1</v>
      </c>
      <c r="C197" s="1" t="n">
        <v>2317</v>
      </c>
      <c r="D197" s="1" t="n">
        <v>1</v>
      </c>
      <c r="E197" s="1" t="s">
        <v>447</v>
      </c>
      <c r="F197" s="1" t="s">
        <v>448</v>
      </c>
      <c r="G197" s="1" t="s">
        <v>449</v>
      </c>
      <c r="H197" s="1" t="s">
        <v>37</v>
      </c>
      <c r="L197" s="1" t="s">
        <v>450</v>
      </c>
      <c r="M197" s="1" t="str">
        <f aca="false">_xlfn.TEXTJOIN( ,0,O197,", ",N197, )</f>
        <v>30.5651206970215, -91.1817779541016</v>
      </c>
      <c r="N197" s="1" t="n">
        <v>-91.1817779541016</v>
      </c>
      <c r="O197" s="1" t="n">
        <v>30.5651206970215</v>
      </c>
      <c r="P197" s="1" t="s">
        <v>24</v>
      </c>
    </row>
    <row r="198" customFormat="false" ht="15" hidden="false" customHeight="false" outlineLevel="0" collapsed="false">
      <c r="A198" s="1" t="n">
        <v>197</v>
      </c>
      <c r="B198" s="1" t="n">
        <v>1</v>
      </c>
      <c r="C198" s="1" t="n">
        <v>2318</v>
      </c>
      <c r="D198" s="1" t="n">
        <v>1</v>
      </c>
      <c r="E198" s="1" t="s">
        <v>451</v>
      </c>
      <c r="F198" s="1" t="s">
        <v>54</v>
      </c>
      <c r="H198" s="1" t="n">
        <v>0</v>
      </c>
      <c r="I198" s="1" t="s">
        <v>16</v>
      </c>
      <c r="L198" s="1" t="s">
        <v>452</v>
      </c>
      <c r="M198" s="1" t="str">
        <f aca="false">_xlfn.TEXTJOIN( ,0,O198,", ",N198, )</f>
        <v>30.5591125488281, -91.1767654418945</v>
      </c>
      <c r="N198" s="1" t="n">
        <v>-91.1767654418945</v>
      </c>
      <c r="O198" s="1" t="n">
        <v>30.5591125488281</v>
      </c>
      <c r="P198" s="1" t="s">
        <v>24</v>
      </c>
    </row>
    <row r="199" customFormat="false" ht="15" hidden="false" customHeight="false" outlineLevel="0" collapsed="false">
      <c r="A199" s="1" t="n">
        <v>198</v>
      </c>
      <c r="B199" s="1" t="n">
        <v>1</v>
      </c>
      <c r="C199" s="1" t="n">
        <v>2319</v>
      </c>
      <c r="D199" s="1" t="n">
        <v>1</v>
      </c>
      <c r="E199" s="1" t="s">
        <v>453</v>
      </c>
      <c r="F199" s="1" t="s">
        <v>454</v>
      </c>
      <c r="H199" s="1" t="n">
        <v>0</v>
      </c>
      <c r="I199" s="1" t="s">
        <v>16</v>
      </c>
      <c r="L199" s="1" t="s">
        <v>455</v>
      </c>
      <c r="M199" s="1" t="str">
        <f aca="false">_xlfn.TEXTJOIN( ,0,O199,", ",N199, )</f>
        <v>30.5305690765381, -91.1653366088867</v>
      </c>
      <c r="N199" s="1" t="n">
        <v>-91.1653366088867</v>
      </c>
      <c r="O199" s="1" t="n">
        <v>30.5305690765381</v>
      </c>
      <c r="P199" s="1" t="s">
        <v>24</v>
      </c>
    </row>
    <row r="200" customFormat="false" ht="15" hidden="false" customHeight="false" outlineLevel="0" collapsed="false">
      <c r="A200" s="1" t="n">
        <v>199</v>
      </c>
      <c r="B200" s="1" t="n">
        <v>1</v>
      </c>
      <c r="C200" s="1" t="n">
        <v>2320</v>
      </c>
      <c r="D200" s="1" t="n">
        <v>1</v>
      </c>
      <c r="E200" s="1" t="s">
        <v>456</v>
      </c>
      <c r="F200" s="1" t="s">
        <v>16</v>
      </c>
      <c r="H200" s="1" t="n">
        <v>0</v>
      </c>
      <c r="I200" s="1" t="s">
        <v>16</v>
      </c>
      <c r="L200" s="1" t="s">
        <v>457</v>
      </c>
      <c r="M200" s="1" t="str">
        <f aca="false">_xlfn.TEXTJOIN( ,0,O200,", ",N200, )</f>
        <v>30.4726219177246, -91.0444030761719</v>
      </c>
      <c r="N200" s="1" t="n">
        <v>-91.0444030761719</v>
      </c>
      <c r="O200" s="1" t="n">
        <v>30.4726219177246</v>
      </c>
      <c r="P200" s="1" t="s">
        <v>24</v>
      </c>
    </row>
    <row r="201" customFormat="false" ht="15" hidden="false" customHeight="false" outlineLevel="0" collapsed="false">
      <c r="A201" s="1" t="n">
        <v>200</v>
      </c>
      <c r="B201" s="1" t="n">
        <v>1</v>
      </c>
      <c r="C201" s="1" t="n">
        <v>2321</v>
      </c>
      <c r="D201" s="1" t="n">
        <v>1</v>
      </c>
      <c r="E201" s="1" t="s">
        <v>458</v>
      </c>
      <c r="F201" s="1" t="s">
        <v>54</v>
      </c>
      <c r="H201" s="1" t="n">
        <v>0</v>
      </c>
      <c r="I201" s="1" t="s">
        <v>16</v>
      </c>
      <c r="L201" s="1" t="s">
        <v>459</v>
      </c>
      <c r="M201" s="1" t="str">
        <f aca="false">_xlfn.TEXTJOIN( ,0,O201,", ",N201, )</f>
        <v>30.5088882446289, -91.1875</v>
      </c>
      <c r="N201" s="1" t="n">
        <v>-91.1875</v>
      </c>
      <c r="O201" s="1" t="n">
        <v>30.5088882446289</v>
      </c>
      <c r="P201" s="1" t="s">
        <v>24</v>
      </c>
    </row>
    <row r="202" customFormat="false" ht="15" hidden="false" customHeight="false" outlineLevel="0" collapsed="false">
      <c r="A202" s="1" t="n">
        <v>201</v>
      </c>
      <c r="B202" s="1" t="n">
        <v>1</v>
      </c>
      <c r="C202" s="1" t="n">
        <v>2322</v>
      </c>
      <c r="D202" s="1" t="n">
        <v>1</v>
      </c>
      <c r="E202" s="1" t="s">
        <v>460</v>
      </c>
      <c r="F202" s="1" t="s">
        <v>461</v>
      </c>
      <c r="H202" s="1" t="s">
        <v>37</v>
      </c>
      <c r="L202" s="1" t="s">
        <v>462</v>
      </c>
      <c r="M202" s="1" t="str">
        <f aca="false">_xlfn.TEXTJOIN( ,0,O202,", ",N202, )</f>
        <v>30.4339141845703, -91.1907653808594</v>
      </c>
      <c r="N202" s="1" t="n">
        <v>-91.1907653808594</v>
      </c>
      <c r="O202" s="1" t="n">
        <v>30.4339141845703</v>
      </c>
      <c r="P202" s="1" t="s">
        <v>24</v>
      </c>
    </row>
    <row r="203" customFormat="false" ht="15" hidden="false" customHeight="false" outlineLevel="0" collapsed="false">
      <c r="A203" s="1" t="n">
        <v>202</v>
      </c>
      <c r="B203" s="1" t="n">
        <v>1</v>
      </c>
      <c r="C203" s="1" t="n">
        <v>2323</v>
      </c>
      <c r="D203" s="1" t="n">
        <v>1</v>
      </c>
      <c r="E203" s="1" t="s">
        <v>463</v>
      </c>
      <c r="F203" s="1" t="s">
        <v>16</v>
      </c>
      <c r="H203" s="1" t="n">
        <v>0</v>
      </c>
      <c r="I203" s="1" t="s">
        <v>16</v>
      </c>
      <c r="L203" s="1" t="s">
        <v>464</v>
      </c>
      <c r="M203" s="1" t="str">
        <f aca="false">_xlfn.TEXTJOIN( ,0,O203,", ",N203, )</f>
        <v>30.4497299194336, -91.1894607543945</v>
      </c>
      <c r="N203" s="1" t="n">
        <v>-91.1894607543945</v>
      </c>
      <c r="O203" s="1" t="n">
        <v>30.4497299194336</v>
      </c>
      <c r="P203" s="1" t="s">
        <v>24</v>
      </c>
    </row>
    <row r="204" customFormat="false" ht="15" hidden="false" customHeight="false" outlineLevel="0" collapsed="false">
      <c r="A204" s="1" t="n">
        <v>203</v>
      </c>
      <c r="B204" s="1" t="n">
        <v>1</v>
      </c>
      <c r="C204" s="1" t="n">
        <v>2324</v>
      </c>
      <c r="D204" s="1" t="n">
        <v>1</v>
      </c>
      <c r="E204" s="1" t="s">
        <v>465</v>
      </c>
      <c r="F204" s="1" t="s">
        <v>16</v>
      </c>
      <c r="H204" s="1" t="n">
        <v>0</v>
      </c>
      <c r="I204" s="1" t="s">
        <v>16</v>
      </c>
      <c r="L204" s="1" t="s">
        <v>466</v>
      </c>
      <c r="M204" s="1" t="str">
        <f aca="false">_xlfn.TEXTJOIN( ,0,O204,", ",N204, )</f>
        <v>30.5138893127441, -91.182502746582</v>
      </c>
      <c r="N204" s="1" t="n">
        <v>-91.182502746582</v>
      </c>
      <c r="O204" s="1" t="n">
        <v>30.5138893127441</v>
      </c>
      <c r="P204" s="1" t="s">
        <v>24</v>
      </c>
    </row>
    <row r="205" customFormat="false" ht="15" hidden="false" customHeight="false" outlineLevel="0" collapsed="false">
      <c r="A205" s="1" t="n">
        <v>204</v>
      </c>
      <c r="B205" s="1" t="n">
        <v>1</v>
      </c>
      <c r="C205" s="1" t="n">
        <v>2325</v>
      </c>
      <c r="D205" s="1" t="n">
        <v>1</v>
      </c>
      <c r="E205" s="1" t="s">
        <v>467</v>
      </c>
      <c r="F205" s="1" t="s">
        <v>16</v>
      </c>
      <c r="H205" s="1" t="n">
        <v>0</v>
      </c>
      <c r="I205" s="1" t="s">
        <v>16</v>
      </c>
      <c r="L205" s="1" t="s">
        <v>468</v>
      </c>
      <c r="M205" s="1" t="str">
        <f aca="false">_xlfn.TEXTJOIN( ,0,O205,", ",N205, )</f>
        <v>30.4482898712158, -91.1507873535156</v>
      </c>
      <c r="N205" s="1" t="n">
        <v>-91.1507873535156</v>
      </c>
      <c r="O205" s="1" t="n">
        <v>30.4482898712158</v>
      </c>
      <c r="P205" s="1" t="s">
        <v>24</v>
      </c>
    </row>
    <row r="206" customFormat="false" ht="15" hidden="false" customHeight="false" outlineLevel="0" collapsed="false">
      <c r="A206" s="1" t="n">
        <v>205</v>
      </c>
      <c r="B206" s="1" t="n">
        <v>1</v>
      </c>
      <c r="C206" s="1" t="n">
        <v>2326</v>
      </c>
      <c r="D206" s="1" t="n">
        <v>1</v>
      </c>
      <c r="E206" s="1" t="s">
        <v>469</v>
      </c>
      <c r="F206" s="1" t="s">
        <v>16</v>
      </c>
      <c r="H206" s="1" t="n">
        <v>0</v>
      </c>
      <c r="I206" s="1" t="s">
        <v>16</v>
      </c>
      <c r="L206" s="1" t="s">
        <v>470</v>
      </c>
      <c r="M206" s="1" t="str">
        <f aca="false">_xlfn.TEXTJOIN( ,0,O206,", ",N206, )</f>
        <v>30.3923950195313, -91.2082214355469</v>
      </c>
      <c r="N206" s="1" t="n">
        <v>-91.2082214355469</v>
      </c>
      <c r="O206" s="1" t="n">
        <v>30.3923950195313</v>
      </c>
      <c r="P206" s="1" t="s">
        <v>24</v>
      </c>
    </row>
    <row r="207" customFormat="false" ht="15" hidden="false" customHeight="false" outlineLevel="0" collapsed="false">
      <c r="A207" s="1" t="n">
        <v>206</v>
      </c>
      <c r="B207" s="1" t="n">
        <v>1</v>
      </c>
      <c r="C207" s="1" t="n">
        <v>2327</v>
      </c>
      <c r="D207" s="1" t="n">
        <v>1</v>
      </c>
      <c r="E207" s="1" t="s">
        <v>471</v>
      </c>
      <c r="F207" s="1" t="s">
        <v>16</v>
      </c>
      <c r="H207" s="1" t="n">
        <v>0</v>
      </c>
      <c r="I207" s="1" t="s">
        <v>16</v>
      </c>
      <c r="L207" s="1" t="s">
        <v>472</v>
      </c>
      <c r="M207" s="1" t="str">
        <f aca="false">_xlfn.TEXTJOIN( ,0,O207,", ",N207, )</f>
        <v>30.3619594573975, -91.0012435913086</v>
      </c>
      <c r="N207" s="1" t="n">
        <v>-91.0012435913086</v>
      </c>
      <c r="O207" s="1" t="n">
        <v>30.3619594573975</v>
      </c>
      <c r="P207" s="1" t="s">
        <v>24</v>
      </c>
    </row>
    <row r="208" customFormat="false" ht="15" hidden="false" customHeight="false" outlineLevel="0" collapsed="false">
      <c r="A208" s="1" t="n">
        <v>207</v>
      </c>
      <c r="B208" s="1" t="n">
        <v>1</v>
      </c>
      <c r="C208" s="1" t="n">
        <v>2328</v>
      </c>
      <c r="D208" s="1" t="n">
        <v>1</v>
      </c>
      <c r="E208" s="1" t="s">
        <v>473</v>
      </c>
      <c r="F208" s="1" t="s">
        <v>16</v>
      </c>
      <c r="H208" s="1" t="n">
        <v>0</v>
      </c>
      <c r="I208" s="1" t="s">
        <v>16</v>
      </c>
      <c r="L208" s="1" t="s">
        <v>474</v>
      </c>
      <c r="M208" s="1" t="str">
        <f aca="false">_xlfn.TEXTJOIN( ,0,O208,", ",N208, )</f>
        <v>30.4723606109619, -91.0609664916992</v>
      </c>
      <c r="N208" s="1" t="n">
        <v>-91.0609664916992</v>
      </c>
      <c r="O208" s="1" t="n">
        <v>30.4723606109619</v>
      </c>
      <c r="P208" s="1" t="s">
        <v>24</v>
      </c>
    </row>
    <row r="209" customFormat="false" ht="15" hidden="false" customHeight="false" outlineLevel="0" collapsed="false">
      <c r="A209" s="1" t="n">
        <v>208</v>
      </c>
      <c r="B209" s="1" t="n">
        <v>1</v>
      </c>
      <c r="C209" s="1" t="n">
        <v>2329</v>
      </c>
      <c r="D209" s="1" t="n">
        <v>1</v>
      </c>
      <c r="E209" s="1" t="s">
        <v>475</v>
      </c>
      <c r="F209" s="1" t="s">
        <v>476</v>
      </c>
      <c r="H209" s="1" t="n">
        <v>0</v>
      </c>
      <c r="I209" s="1" t="s">
        <v>16</v>
      </c>
      <c r="L209" s="1" t="s">
        <v>477</v>
      </c>
      <c r="M209" s="1" t="str">
        <f aca="false">_xlfn.TEXTJOIN( ,0,O209,", ",N209, )</f>
        <v>30.5074806213379, -91.1855697631836</v>
      </c>
      <c r="N209" s="1" t="n">
        <v>-91.1855697631836</v>
      </c>
      <c r="O209" s="1" t="n">
        <v>30.5074806213379</v>
      </c>
      <c r="P209" s="1" t="s">
        <v>24</v>
      </c>
    </row>
    <row r="210" customFormat="false" ht="15" hidden="false" customHeight="false" outlineLevel="0" collapsed="false">
      <c r="A210" s="1" t="n">
        <v>209</v>
      </c>
      <c r="B210" s="1" t="n">
        <v>1</v>
      </c>
      <c r="C210" s="1" t="n">
        <v>2330</v>
      </c>
      <c r="D210" s="1" t="n">
        <v>1</v>
      </c>
      <c r="E210" s="1" t="s">
        <v>478</v>
      </c>
      <c r="F210" s="1" t="s">
        <v>16</v>
      </c>
      <c r="H210" s="1" t="n">
        <v>0</v>
      </c>
      <c r="I210" s="1" t="s">
        <v>16</v>
      </c>
      <c r="L210" s="1" t="s">
        <v>23</v>
      </c>
      <c r="M210" s="1" t="str">
        <f aca="false">_xlfn.TEXTJOIN( ,0,O210,", ",N210, )</f>
        <v>30.4433307647705, -91.1874771118164</v>
      </c>
      <c r="N210" s="1" t="n">
        <v>-91.1874771118164</v>
      </c>
      <c r="O210" s="1" t="n">
        <v>30.4433307647705</v>
      </c>
      <c r="P210" s="1" t="s">
        <v>24</v>
      </c>
    </row>
    <row r="211" customFormat="false" ht="15" hidden="false" customHeight="false" outlineLevel="0" collapsed="false">
      <c r="A211" s="1" t="n">
        <v>210</v>
      </c>
      <c r="B211" s="1" t="n">
        <v>1</v>
      </c>
      <c r="C211" s="1" t="n">
        <v>2331</v>
      </c>
      <c r="D211" s="1" t="n">
        <v>1</v>
      </c>
      <c r="E211" s="1" t="s">
        <v>479</v>
      </c>
      <c r="F211" s="1" t="s">
        <v>480</v>
      </c>
      <c r="H211" s="1" t="n">
        <v>0</v>
      </c>
      <c r="I211" s="1" t="s">
        <v>16</v>
      </c>
      <c r="L211" s="1" t="s">
        <v>481</v>
      </c>
      <c r="M211" s="1" t="str">
        <f aca="false">_xlfn.TEXTJOIN( ,0,O211,", ",N211, )</f>
        <v>30.4951000213623, -91.178596496582</v>
      </c>
      <c r="N211" s="1" t="n">
        <v>-91.178596496582</v>
      </c>
      <c r="O211" s="1" t="n">
        <v>30.4951000213623</v>
      </c>
      <c r="P211" s="1" t="s">
        <v>24</v>
      </c>
    </row>
    <row r="212" customFormat="false" ht="15" hidden="false" customHeight="false" outlineLevel="0" collapsed="false">
      <c r="A212" s="1" t="n">
        <v>211</v>
      </c>
      <c r="B212" s="1" t="n">
        <v>1</v>
      </c>
      <c r="C212" s="1" t="n">
        <v>2332</v>
      </c>
      <c r="D212" s="1" t="n">
        <v>1</v>
      </c>
      <c r="E212" s="1" t="s">
        <v>482</v>
      </c>
      <c r="F212" s="1" t="s">
        <v>480</v>
      </c>
      <c r="H212" s="1" t="n">
        <v>0</v>
      </c>
      <c r="I212" s="1" t="s">
        <v>16</v>
      </c>
      <c r="L212" s="1" t="s">
        <v>483</v>
      </c>
      <c r="M212" s="1" t="str">
        <f aca="false">_xlfn.TEXTJOIN( ,0,O212,", ",N212, )</f>
        <v>30.4952430725098, -91.17822265625</v>
      </c>
      <c r="N212" s="1" t="n">
        <v>-91.17822265625</v>
      </c>
      <c r="O212" s="1" t="n">
        <v>30.4952430725098</v>
      </c>
      <c r="P212" s="1" t="s">
        <v>24</v>
      </c>
    </row>
    <row r="213" customFormat="false" ht="15" hidden="false" customHeight="false" outlineLevel="0" collapsed="false">
      <c r="A213" s="1" t="n">
        <v>212</v>
      </c>
      <c r="B213" s="1" t="n">
        <v>1</v>
      </c>
      <c r="C213" s="1" t="n">
        <v>2333</v>
      </c>
      <c r="D213" s="1" t="n">
        <v>1</v>
      </c>
      <c r="E213" s="1" t="s">
        <v>484</v>
      </c>
      <c r="F213" s="1" t="s">
        <v>16</v>
      </c>
      <c r="H213" s="1" t="n">
        <v>0</v>
      </c>
      <c r="I213" s="1" t="s">
        <v>16</v>
      </c>
      <c r="L213" s="1" t="s">
        <v>485</v>
      </c>
      <c r="M213" s="1" t="str">
        <f aca="false">_xlfn.TEXTJOIN( ,0,O213,", ",N213, )</f>
        <v>30.499080657959, -91.1532974243164</v>
      </c>
      <c r="N213" s="1" t="n">
        <v>-91.1532974243164</v>
      </c>
      <c r="O213" s="1" t="n">
        <v>30.499080657959</v>
      </c>
      <c r="P213" s="1" t="s">
        <v>24</v>
      </c>
    </row>
    <row r="214" customFormat="false" ht="15" hidden="false" customHeight="false" outlineLevel="0" collapsed="false">
      <c r="A214" s="1" t="n">
        <v>213</v>
      </c>
      <c r="B214" s="1" t="n">
        <v>1</v>
      </c>
      <c r="C214" s="1" t="n">
        <v>2334</v>
      </c>
      <c r="D214" s="1" t="n">
        <v>1</v>
      </c>
      <c r="E214" s="1" t="s">
        <v>486</v>
      </c>
      <c r="F214" s="1" t="s">
        <v>16</v>
      </c>
      <c r="H214" s="1" t="n">
        <v>0</v>
      </c>
      <c r="I214" s="1" t="s">
        <v>16</v>
      </c>
      <c r="L214" s="1" t="s">
        <v>487</v>
      </c>
      <c r="M214" s="1" t="str">
        <f aca="false">_xlfn.TEXTJOIN( ,0,O214,", ",N214, )</f>
        <v>30.4700431823731, -91.1115112304688</v>
      </c>
      <c r="N214" s="1" t="n">
        <v>-91.1115112304688</v>
      </c>
      <c r="O214" s="1" t="n">
        <v>30.4700431823731</v>
      </c>
      <c r="P214" s="1" t="s">
        <v>24</v>
      </c>
    </row>
    <row r="215" customFormat="false" ht="15" hidden="false" customHeight="false" outlineLevel="0" collapsed="false">
      <c r="A215" s="1" t="n">
        <v>214</v>
      </c>
      <c r="B215" s="1" t="n">
        <v>1</v>
      </c>
      <c r="C215" s="1" t="n">
        <v>2335</v>
      </c>
      <c r="D215" s="1" t="n">
        <v>1</v>
      </c>
      <c r="E215" s="1" t="s">
        <v>488</v>
      </c>
      <c r="F215" s="1" t="s">
        <v>16</v>
      </c>
      <c r="H215" s="1" t="n">
        <v>0</v>
      </c>
      <c r="I215" s="1" t="s">
        <v>16</v>
      </c>
      <c r="L215" s="1" t="s">
        <v>489</v>
      </c>
      <c r="M215" s="1" t="str">
        <f aca="false">_xlfn.TEXTJOIN( ,0,O215,", ",N215, )</f>
        <v>30.5211791992188, -91.1795806884766</v>
      </c>
      <c r="N215" s="1" t="n">
        <v>-91.1795806884766</v>
      </c>
      <c r="O215" s="1" t="n">
        <v>30.5211791992188</v>
      </c>
      <c r="P215" s="1" t="s">
        <v>24</v>
      </c>
    </row>
    <row r="216" customFormat="false" ht="15" hidden="false" customHeight="false" outlineLevel="0" collapsed="false">
      <c r="A216" s="1" t="n">
        <v>215</v>
      </c>
      <c r="B216" s="1" t="n">
        <v>1</v>
      </c>
      <c r="C216" s="1" t="n">
        <v>2336</v>
      </c>
      <c r="D216" s="1" t="n">
        <v>1</v>
      </c>
      <c r="E216" s="1" t="s">
        <v>490</v>
      </c>
      <c r="F216" s="1" t="s">
        <v>16</v>
      </c>
      <c r="H216" s="1" t="n">
        <v>0</v>
      </c>
      <c r="I216" s="1" t="s">
        <v>16</v>
      </c>
      <c r="L216" s="1" t="s">
        <v>491</v>
      </c>
      <c r="M216" s="1" t="str">
        <f aca="false">_xlfn.TEXTJOIN( ,0,O216,", ",N216, )</f>
        <v>30.4726600646973, -91.0687637329102</v>
      </c>
      <c r="N216" s="1" t="n">
        <v>-91.0687637329102</v>
      </c>
      <c r="O216" s="1" t="n">
        <v>30.4726600646973</v>
      </c>
      <c r="P216" s="1" t="s">
        <v>24</v>
      </c>
    </row>
    <row r="217" customFormat="false" ht="15" hidden="false" customHeight="false" outlineLevel="0" collapsed="false">
      <c r="A217" s="1" t="n">
        <v>216</v>
      </c>
      <c r="B217" s="1" t="n">
        <v>1</v>
      </c>
      <c r="C217" s="1" t="n">
        <v>2922</v>
      </c>
      <c r="D217" s="1" t="n">
        <v>1</v>
      </c>
      <c r="E217" s="1" t="s">
        <v>492</v>
      </c>
      <c r="F217" s="1" t="s">
        <v>16</v>
      </c>
      <c r="H217" s="1" t="n">
        <v>0</v>
      </c>
      <c r="I217" s="1" t="s">
        <v>16</v>
      </c>
      <c r="L217" s="1" t="s">
        <v>493</v>
      </c>
      <c r="M217" s="1" t="str">
        <f aca="false">_xlfn.TEXTJOIN( ,0,O217,", ",N217, )</f>
        <v>30.5781593322754, -90.9943237304688</v>
      </c>
      <c r="N217" s="1" t="n">
        <v>-90.9943237304688</v>
      </c>
      <c r="O217" s="1" t="n">
        <v>30.5781593322754</v>
      </c>
      <c r="P217" s="1" t="s">
        <v>494</v>
      </c>
    </row>
    <row r="218" customFormat="false" ht="15" hidden="false" customHeight="false" outlineLevel="0" collapsed="false">
      <c r="A218" s="1" t="n">
        <v>217</v>
      </c>
      <c r="B218" s="1" t="n">
        <v>1</v>
      </c>
      <c r="C218" s="1" t="n">
        <v>2923</v>
      </c>
      <c r="D218" s="1" t="n">
        <v>1</v>
      </c>
      <c r="E218" s="1" t="s">
        <v>495</v>
      </c>
      <c r="F218" s="1" t="s">
        <v>16</v>
      </c>
      <c r="H218" s="1" t="n">
        <v>0</v>
      </c>
      <c r="I218" s="1" t="s">
        <v>16</v>
      </c>
      <c r="L218" s="1" t="s">
        <v>496</v>
      </c>
      <c r="M218" s="1" t="str">
        <f aca="false">_xlfn.TEXTJOIN( ,0,O218,", ",N218, )</f>
        <v>30.489185333252, -91.0754928588867</v>
      </c>
      <c r="N218" s="1" t="n">
        <v>-91.0754928588867</v>
      </c>
      <c r="O218" s="1" t="n">
        <v>30.489185333252</v>
      </c>
      <c r="P218" s="1" t="s">
        <v>494</v>
      </c>
    </row>
    <row r="219" customFormat="false" ht="15" hidden="false" customHeight="false" outlineLevel="0" collapsed="false">
      <c r="A219" s="1" t="n">
        <v>218</v>
      </c>
      <c r="B219" s="1" t="n">
        <v>1</v>
      </c>
      <c r="C219" s="1" t="n">
        <v>4195</v>
      </c>
      <c r="D219" s="1" t="n">
        <v>1</v>
      </c>
      <c r="E219" s="1" t="s">
        <v>497</v>
      </c>
      <c r="F219" s="1" t="s">
        <v>498</v>
      </c>
      <c r="H219" s="1" t="s">
        <v>37</v>
      </c>
      <c r="I219" s="1" t="s">
        <v>210</v>
      </c>
      <c r="L219" s="1" t="s">
        <v>499</v>
      </c>
      <c r="M219" s="1" t="str">
        <f aca="false">_xlfn.TEXTJOIN( ,0,O219,", ",N219, )</f>
        <v>30.5342597961426, -91.2015914916992</v>
      </c>
      <c r="N219" s="1" t="n">
        <v>-91.2015914916992</v>
      </c>
      <c r="O219" s="1" t="n">
        <v>30.5342597961426</v>
      </c>
      <c r="P219" s="1" t="s">
        <v>500</v>
      </c>
    </row>
    <row r="220" customFormat="false" ht="15" hidden="false" customHeight="false" outlineLevel="0" collapsed="false">
      <c r="A220" s="1" t="n">
        <v>219</v>
      </c>
      <c r="B220" s="1" t="n">
        <v>1</v>
      </c>
      <c r="C220" s="1" t="n">
        <v>4196</v>
      </c>
      <c r="D220" s="1" t="n">
        <v>1</v>
      </c>
      <c r="E220" s="1" t="s">
        <v>501</v>
      </c>
      <c r="F220" s="1" t="s">
        <v>54</v>
      </c>
      <c r="H220" s="1" t="n">
        <v>0</v>
      </c>
      <c r="I220" s="1" t="s">
        <v>16</v>
      </c>
      <c r="L220" s="1" t="s">
        <v>499</v>
      </c>
      <c r="M220" s="1" t="str">
        <f aca="false">_xlfn.TEXTJOIN( ,0,O220,", ",N220, )</f>
        <v>30.5342597961426, -91.2015914916992</v>
      </c>
      <c r="N220" s="1" t="n">
        <v>-91.2015914916992</v>
      </c>
      <c r="O220" s="1" t="n">
        <v>30.5342597961426</v>
      </c>
      <c r="P220" s="1" t="s">
        <v>500</v>
      </c>
    </row>
    <row r="221" customFormat="false" ht="15" hidden="false" customHeight="false" outlineLevel="0" collapsed="false">
      <c r="A221" s="1" t="n">
        <v>220</v>
      </c>
      <c r="B221" s="1" t="n">
        <v>1</v>
      </c>
      <c r="C221" s="1" t="n">
        <v>4756</v>
      </c>
      <c r="D221" s="1" t="n">
        <v>1</v>
      </c>
      <c r="E221" s="1" t="s">
        <v>502</v>
      </c>
      <c r="F221" s="1" t="s">
        <v>503</v>
      </c>
      <c r="G221" s="1" t="s">
        <v>504</v>
      </c>
      <c r="H221" s="1" t="s">
        <v>37</v>
      </c>
      <c r="L221" s="1" t="s">
        <v>505</v>
      </c>
      <c r="M221" s="1" t="str">
        <f aca="false">_xlfn.TEXTJOIN( ,0,O221,", ",N221, )</f>
        <v>30.6132507324219, -91.2333297729492</v>
      </c>
      <c r="N221" s="1" t="n">
        <v>-91.2333297729492</v>
      </c>
      <c r="O221" s="1" t="n">
        <v>30.6132507324219</v>
      </c>
      <c r="P221" s="1" t="s">
        <v>506</v>
      </c>
    </row>
    <row r="222" customFormat="false" ht="15" hidden="false" customHeight="false" outlineLevel="0" collapsed="false">
      <c r="A222" s="1" t="n">
        <v>221</v>
      </c>
      <c r="B222" s="1" t="n">
        <v>1</v>
      </c>
      <c r="C222" s="1" t="n">
        <v>4757</v>
      </c>
      <c r="D222" s="1" t="n">
        <v>1</v>
      </c>
      <c r="E222" s="1" t="s">
        <v>507</v>
      </c>
      <c r="F222" s="1" t="s">
        <v>54</v>
      </c>
      <c r="H222" s="1" t="n">
        <v>0</v>
      </c>
      <c r="I222" s="1" t="s">
        <v>16</v>
      </c>
      <c r="L222" s="1" t="s">
        <v>508</v>
      </c>
      <c r="M222" s="1" t="str">
        <f aca="false">_xlfn.TEXTJOIN( ,0,O222,", ",N222, )</f>
        <v>30.5979995727539, -91.2313995361328</v>
      </c>
      <c r="N222" s="1" t="n">
        <v>-91.2313995361328</v>
      </c>
      <c r="O222" s="1" t="n">
        <v>30.5979995727539</v>
      </c>
      <c r="P222" s="1" t="s">
        <v>506</v>
      </c>
    </row>
    <row r="223" customFormat="false" ht="15" hidden="false" customHeight="false" outlineLevel="0" collapsed="false">
      <c r="A223" s="1" t="n">
        <v>222</v>
      </c>
      <c r="B223" s="1" t="n">
        <v>1</v>
      </c>
      <c r="C223" s="1" t="n">
        <v>4758</v>
      </c>
      <c r="D223" s="1" t="n">
        <v>1</v>
      </c>
      <c r="E223" s="1" t="s">
        <v>509</v>
      </c>
      <c r="F223" s="1" t="s">
        <v>510</v>
      </c>
      <c r="H223" s="1" t="s">
        <v>37</v>
      </c>
      <c r="L223" s="1" t="s">
        <v>511</v>
      </c>
      <c r="M223" s="1" t="str">
        <f aca="false">_xlfn.TEXTJOIN( ,0,O223,", ",N223, )</f>
        <v>30.6326999664307, -91.1171035766602</v>
      </c>
      <c r="N223" s="1" t="n">
        <v>-91.1171035766602</v>
      </c>
      <c r="O223" s="1" t="n">
        <v>30.6326999664307</v>
      </c>
      <c r="P223" s="1" t="s">
        <v>506</v>
      </c>
    </row>
    <row r="224" customFormat="false" ht="15" hidden="false" customHeight="false" outlineLevel="0" collapsed="false">
      <c r="A224" s="1" t="n">
        <v>223</v>
      </c>
      <c r="B224" s="1" t="n">
        <v>1</v>
      </c>
      <c r="C224" s="1" t="n">
        <v>4759</v>
      </c>
      <c r="D224" s="1" t="n">
        <v>1</v>
      </c>
      <c r="E224" s="1" t="s">
        <v>512</v>
      </c>
      <c r="F224" s="1" t="s">
        <v>54</v>
      </c>
      <c r="H224" s="1" t="n">
        <v>0</v>
      </c>
      <c r="I224" s="1" t="s">
        <v>16</v>
      </c>
      <c r="L224" s="1" t="s">
        <v>513</v>
      </c>
      <c r="M224" s="1" t="str">
        <f aca="false">_xlfn.TEXTJOIN( ,0,O224,", ",N224, )</f>
        <v>30.6551971435547, -91.269905090332</v>
      </c>
      <c r="N224" s="1" t="n">
        <v>-91.269905090332</v>
      </c>
      <c r="O224" s="1" t="n">
        <v>30.6551971435547</v>
      </c>
      <c r="P224" s="1" t="s">
        <v>506</v>
      </c>
    </row>
    <row r="225" customFormat="false" ht="15" hidden="false" customHeight="false" outlineLevel="0" collapsed="false">
      <c r="A225" s="1" t="n">
        <v>224</v>
      </c>
      <c r="B225" s="1" t="n">
        <v>1</v>
      </c>
      <c r="C225" s="1" t="n">
        <v>4760</v>
      </c>
      <c r="D225" s="1" t="n">
        <v>1</v>
      </c>
      <c r="E225" s="1" t="s">
        <v>514</v>
      </c>
      <c r="F225" s="1" t="s">
        <v>515</v>
      </c>
      <c r="H225" s="1" t="s">
        <v>37</v>
      </c>
      <c r="L225" s="1" t="s">
        <v>516</v>
      </c>
      <c r="M225" s="1" t="str">
        <f aca="false">_xlfn.TEXTJOIN( ,0,O225,", ",N225, )</f>
        <v>30.6506443023682, -91.2811660766602</v>
      </c>
      <c r="N225" s="1" t="n">
        <v>-91.2811660766602</v>
      </c>
      <c r="O225" s="1" t="n">
        <v>30.6506443023682</v>
      </c>
      <c r="P225" s="1" t="s">
        <v>506</v>
      </c>
    </row>
    <row r="226" customFormat="false" ht="15" hidden="false" customHeight="false" outlineLevel="0" collapsed="false">
      <c r="A226" s="1" t="n">
        <v>225</v>
      </c>
      <c r="B226" s="1" t="n">
        <v>1</v>
      </c>
      <c r="C226" s="1" t="n">
        <v>4761</v>
      </c>
      <c r="D226" s="1" t="n">
        <v>1</v>
      </c>
      <c r="E226" s="1" t="s">
        <v>517</v>
      </c>
      <c r="F226" s="1" t="s">
        <v>518</v>
      </c>
      <c r="G226" s="1" t="s">
        <v>519</v>
      </c>
      <c r="H226" s="1" t="s">
        <v>37</v>
      </c>
      <c r="L226" s="1" t="s">
        <v>520</v>
      </c>
      <c r="M226" s="1" t="str">
        <f aca="false">_xlfn.TEXTJOIN( ,0,O226,", ",N226, )</f>
        <v>30.6401462554932, -91.2522506713867</v>
      </c>
      <c r="N226" s="1" t="n">
        <v>-91.2522506713867</v>
      </c>
      <c r="O226" s="1" t="n">
        <v>30.6401462554932</v>
      </c>
      <c r="P226" s="1" t="s">
        <v>506</v>
      </c>
    </row>
    <row r="227" customFormat="false" ht="15" hidden="false" customHeight="false" outlineLevel="0" collapsed="false">
      <c r="A227" s="1" t="n">
        <v>226</v>
      </c>
      <c r="B227" s="1" t="n">
        <v>1</v>
      </c>
      <c r="C227" s="1" t="n">
        <v>4762</v>
      </c>
      <c r="D227" s="1" t="n">
        <v>1</v>
      </c>
      <c r="E227" s="1" t="s">
        <v>521</v>
      </c>
      <c r="F227" s="1" t="s">
        <v>16</v>
      </c>
      <c r="H227" s="1" t="n">
        <v>0</v>
      </c>
      <c r="I227" s="1" t="s">
        <v>16</v>
      </c>
      <c r="L227" s="1" t="s">
        <v>522</v>
      </c>
      <c r="M227" s="1" t="str">
        <f aca="false">_xlfn.TEXTJOIN( ,0,O227,", ",N227, )</f>
        <v>30.64479637146, -91.250114440918</v>
      </c>
      <c r="N227" s="1" t="n">
        <v>-91.250114440918</v>
      </c>
      <c r="O227" s="1" t="n">
        <v>30.64479637146</v>
      </c>
      <c r="P227" s="1" t="s">
        <v>506</v>
      </c>
    </row>
    <row r="228" customFormat="false" ht="15" hidden="false" customHeight="false" outlineLevel="0" collapsed="false">
      <c r="A228" s="1" t="n">
        <v>227</v>
      </c>
      <c r="B228" s="1" t="n">
        <v>1</v>
      </c>
      <c r="C228" s="1" t="n">
        <v>4763</v>
      </c>
      <c r="D228" s="1" t="n">
        <v>1</v>
      </c>
      <c r="E228" s="1" t="s">
        <v>523</v>
      </c>
      <c r="F228" s="1" t="s">
        <v>16</v>
      </c>
      <c r="H228" s="1" t="n">
        <v>0</v>
      </c>
      <c r="I228" s="1" t="s">
        <v>16</v>
      </c>
      <c r="L228" s="1" t="s">
        <v>524</v>
      </c>
      <c r="M228" s="1" t="str">
        <f aca="false">_xlfn.TEXTJOIN( ,0,O228,", ",N228, )</f>
        <v>30.6434059143066, -91.0311050415039</v>
      </c>
      <c r="N228" s="1" t="n">
        <v>-91.0311050415039</v>
      </c>
      <c r="O228" s="1" t="n">
        <v>30.6434059143066</v>
      </c>
      <c r="P228" s="1" t="s">
        <v>506</v>
      </c>
    </row>
    <row r="229" customFormat="false" ht="15" hidden="false" customHeight="false" outlineLevel="0" collapsed="false">
      <c r="A229" s="1" t="n">
        <v>228</v>
      </c>
      <c r="B229" s="1" t="n">
        <v>1</v>
      </c>
      <c r="C229" s="1" t="n">
        <v>4764</v>
      </c>
      <c r="D229" s="1" t="n">
        <v>1</v>
      </c>
      <c r="E229" s="1" t="s">
        <v>525</v>
      </c>
      <c r="F229" s="1" t="s">
        <v>526</v>
      </c>
      <c r="H229" s="1" t="n">
        <v>0</v>
      </c>
      <c r="I229" s="1" t="s">
        <v>16</v>
      </c>
      <c r="L229" s="1" t="s">
        <v>527</v>
      </c>
      <c r="M229" s="1" t="str">
        <f aca="false">_xlfn.TEXTJOIN( ,0,O229,", ",N229, )</f>
        <v>30.655330657959, -91.2708282470703</v>
      </c>
      <c r="N229" s="1" t="n">
        <v>-91.2708282470703</v>
      </c>
      <c r="O229" s="1" t="n">
        <v>30.655330657959</v>
      </c>
      <c r="P229" s="1" t="s">
        <v>506</v>
      </c>
    </row>
    <row r="230" customFormat="false" ht="15" hidden="false" customHeight="false" outlineLevel="0" collapsed="false">
      <c r="A230" s="1" t="n">
        <v>229</v>
      </c>
      <c r="B230" s="1" t="n">
        <v>1</v>
      </c>
      <c r="C230" s="1" t="n">
        <v>4765</v>
      </c>
      <c r="D230" s="1" t="n">
        <v>1</v>
      </c>
      <c r="E230" s="1" t="s">
        <v>528</v>
      </c>
      <c r="F230" s="1" t="s">
        <v>16</v>
      </c>
      <c r="H230" s="1" t="n">
        <v>0</v>
      </c>
      <c r="I230" s="1" t="s">
        <v>16</v>
      </c>
      <c r="L230" s="1" t="s">
        <v>529</v>
      </c>
      <c r="M230" s="1" t="str">
        <f aca="false">_xlfn.TEXTJOIN( ,0,O230,", ",N230, )</f>
        <v>30.6508007049561, -91.1493453979492</v>
      </c>
      <c r="N230" s="1" t="n">
        <v>-91.1493453979492</v>
      </c>
      <c r="O230" s="1" t="n">
        <v>30.6508007049561</v>
      </c>
      <c r="P230" s="1" t="s">
        <v>506</v>
      </c>
    </row>
    <row r="231" customFormat="false" ht="15" hidden="false" customHeight="false" outlineLevel="0" collapsed="false">
      <c r="A231" s="1" t="n">
        <v>230</v>
      </c>
      <c r="B231" s="1" t="n">
        <v>1</v>
      </c>
      <c r="C231" s="1" t="n">
        <v>4766</v>
      </c>
      <c r="D231" s="1" t="n">
        <v>1</v>
      </c>
      <c r="E231" s="1" t="s">
        <v>530</v>
      </c>
      <c r="F231" s="1" t="s">
        <v>531</v>
      </c>
      <c r="H231" s="1" t="s">
        <v>37</v>
      </c>
      <c r="L231" s="1" t="s">
        <v>532</v>
      </c>
      <c r="M231" s="1" t="str">
        <f aca="false">_xlfn.TEXTJOIN( ,0,O231,", ",N231, )</f>
        <v>30.6495399475098, -91.2841110229492</v>
      </c>
      <c r="N231" s="1" t="n">
        <v>-91.2841110229492</v>
      </c>
      <c r="O231" s="1" t="n">
        <v>30.6495399475098</v>
      </c>
      <c r="P231" s="1" t="s">
        <v>506</v>
      </c>
    </row>
    <row r="232" customFormat="false" ht="15" hidden="false" customHeight="false" outlineLevel="0" collapsed="false">
      <c r="A232" s="1" t="n">
        <v>231</v>
      </c>
      <c r="B232" s="1" t="n">
        <v>1</v>
      </c>
      <c r="C232" s="1" t="n">
        <v>4767</v>
      </c>
      <c r="D232" s="1" t="n">
        <v>1</v>
      </c>
      <c r="E232" s="1" t="s">
        <v>533</v>
      </c>
      <c r="F232" s="1" t="s">
        <v>534</v>
      </c>
      <c r="G232" s="1" t="s">
        <v>535</v>
      </c>
      <c r="H232" s="1" t="s">
        <v>37</v>
      </c>
      <c r="L232" s="1" t="s">
        <v>536</v>
      </c>
      <c r="M232" s="1" t="str">
        <f aca="false">_xlfn.TEXTJOIN( ,0,O232,", ",N232, )</f>
        <v>30.6289482116699, -91.2449951171875</v>
      </c>
      <c r="N232" s="1" t="n">
        <v>-91.2449951171875</v>
      </c>
      <c r="O232" s="1" t="n">
        <v>30.6289482116699</v>
      </c>
      <c r="P232" s="1" t="s">
        <v>506</v>
      </c>
    </row>
  </sheetData>
  <hyperlinks>
    <hyperlink ref="G12" r:id="rId1" display="https://www.prnewswire.com/news-releases/albemarle-expands-production-capabilities-for-finished-polyolefin-catalysts-at-its-baton-rouge-facility-138036378.html"/>
    <hyperlink ref="G16" r:id="rId2" display="https://www.autochlor.com/"/>
    <hyperlink ref="G75" r:id="rId3" display="https://trecora.com/locations/baton-rouge/"/>
    <hyperlink ref="G90" r:id="rId4" display="https://www.dolese.com/"/>
    <hyperlink ref="G107" r:id="rId5" display="https://www.exxonmobilchemical.com/en"/>
    <hyperlink ref="G108" r:id="rId6" display="https://www.exxonmobilchemical.com/en"/>
    <hyperlink ref="G129" r:id="rId7" display="https://lmkchemical.com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1" colorId="64" zoomScale="75" zoomScaleNormal="75" zoomScalePageLayoutView="100" workbookViewId="0">
      <selection pane="topLeft" activeCell="F15" activeCellId="0" sqref="F15"/>
    </sheetView>
  </sheetViews>
  <sheetFormatPr defaultColWidth="8.453125" defaultRowHeight="13.8" customHeight="false" zeroHeight="false" outlineLevelRow="0" outlineLevelCol="0"/>
  <cols>
    <col collapsed="false" customWidth="false" hidden="false" outlineLevel="0" max="4" min="1" style="1" width="8.45"/>
    <col collapsed="false" customWidth="true" hidden="false" outlineLevel="0" max="5" min="5" style="1" width="50.31"/>
    <col collapsed="false" customWidth="true" hidden="false" outlineLevel="0" max="6" min="6" style="1" width="32.66"/>
    <col collapsed="false" customWidth="true" hidden="false" outlineLevel="0" max="7" min="7" style="1" width="70.66"/>
    <col collapsed="false" customWidth="true" hidden="false" outlineLevel="0" max="8" min="8" style="1" width="12.65"/>
    <col collapsed="false" customWidth="true" hidden="false" outlineLevel="0" max="9" min="9" style="1" width="18.1"/>
    <col collapsed="false" customWidth="true" hidden="false" outlineLevel="0" max="10" min="10" style="1" width="11.53"/>
    <col collapsed="false" customWidth="true" hidden="false" outlineLevel="0" max="11" min="11" style="1" width="9.94"/>
    <col collapsed="false" customWidth="true" hidden="false" outlineLevel="0" max="12" min="12" style="4" width="15.84"/>
    <col collapsed="false" customWidth="true" hidden="false" outlineLevel="0" max="13" min="13" style="1" width="36.23"/>
    <col collapsed="false" customWidth="true" hidden="false" outlineLevel="0" max="15" min="14" style="1" width="37.8"/>
    <col collapsed="false" customWidth="true" hidden="false" outlineLevel="0" max="16" min="16" style="1" width="9.94"/>
    <col collapsed="false" customWidth="true" hidden="false" outlineLevel="0" max="16384" min="16378" style="1" width="11.53"/>
  </cols>
  <sheetData>
    <row r="1" s="4" customFormat="true" ht="58.3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537</v>
      </c>
      <c r="H1" s="2" t="s">
        <v>7</v>
      </c>
      <c r="I1" s="2" t="s">
        <v>8</v>
      </c>
      <c r="J1" s="2" t="s">
        <v>538</v>
      </c>
      <c r="K1" s="2" t="s">
        <v>10</v>
      </c>
      <c r="L1" s="2" t="s">
        <v>539</v>
      </c>
      <c r="M1" s="2" t="s">
        <v>540</v>
      </c>
      <c r="N1" s="2" t="s">
        <v>11</v>
      </c>
      <c r="O1" s="3" t="s">
        <v>11</v>
      </c>
      <c r="P1" s="2" t="s">
        <v>12</v>
      </c>
      <c r="Q1" s="2" t="s">
        <v>13</v>
      </c>
      <c r="R1" s="2" t="s">
        <v>14</v>
      </c>
      <c r="AN1" s="1"/>
      <c r="AO1" s="1"/>
      <c r="XEX1" s="1"/>
      <c r="XEY1" s="1"/>
      <c r="XEZ1" s="1"/>
      <c r="XFA1" s="1"/>
      <c r="XFB1" s="1"/>
      <c r="XFC1" s="1"/>
      <c r="XFD1" s="1"/>
    </row>
    <row r="2" customFormat="false" ht="54.65" hidden="false" customHeight="false" outlineLevel="0" collapsed="false">
      <c r="A2" s="1" t="n">
        <v>10</v>
      </c>
      <c r="B2" s="1" t="n">
        <v>1</v>
      </c>
      <c r="C2" s="1" t="n">
        <v>2131</v>
      </c>
      <c r="D2" s="1" t="n">
        <v>1</v>
      </c>
      <c r="E2" s="1" t="s">
        <v>34</v>
      </c>
      <c r="F2" s="1" t="s">
        <v>35</v>
      </c>
      <c r="G2" s="5" t="s">
        <v>541</v>
      </c>
      <c r="H2" s="1" t="s">
        <v>542</v>
      </c>
      <c r="I2" s="1" t="s">
        <v>38</v>
      </c>
      <c r="J2" s="1" t="n">
        <v>34.313</v>
      </c>
      <c r="K2" s="1" t="n">
        <v>3.917</v>
      </c>
      <c r="L2" s="4" t="s">
        <v>543</v>
      </c>
      <c r="M2" s="1" t="s">
        <v>544</v>
      </c>
      <c r="N2" s="1" t="s">
        <v>39</v>
      </c>
      <c r="O2" s="1" t="str">
        <f aca="false">_xlfn.TEXTJOIN( ,0,Q2,", ",P2, )</f>
        <v>30.4935359954834, -91.1872253417969</v>
      </c>
      <c r="P2" s="1" t="n">
        <v>-91.1872253417969</v>
      </c>
      <c r="Q2" s="1" t="n">
        <v>30.4935359954834</v>
      </c>
      <c r="R2" s="1" t="s">
        <v>24</v>
      </c>
    </row>
    <row r="3" customFormat="false" ht="36.5" hidden="false" customHeight="false" outlineLevel="0" collapsed="false">
      <c r="A3" s="1" t="n">
        <v>11</v>
      </c>
      <c r="B3" s="1" t="n">
        <v>1</v>
      </c>
      <c r="C3" s="1" t="n">
        <v>2132</v>
      </c>
      <c r="D3" s="1" t="n">
        <v>1</v>
      </c>
      <c r="E3" s="1" t="s">
        <v>40</v>
      </c>
      <c r="F3" s="1" t="s">
        <v>41</v>
      </c>
      <c r="G3" s="5" t="s">
        <v>42</v>
      </c>
      <c r="H3" s="1" t="s">
        <v>37</v>
      </c>
      <c r="J3" s="1" t="n">
        <v>1182</v>
      </c>
      <c r="K3" s="1" t="n">
        <v>135</v>
      </c>
      <c r="L3" s="4" t="s">
        <v>545</v>
      </c>
      <c r="M3" s="1" t="s">
        <v>546</v>
      </c>
      <c r="N3" s="1" t="s">
        <v>43</v>
      </c>
      <c r="O3" s="1" t="str">
        <f aca="false">_xlfn.TEXTJOIN( ,0,Q3,", ",P3, )</f>
        <v>30.4937496185303, -91.1787414550781</v>
      </c>
      <c r="P3" s="1" t="n">
        <v>-91.1787414550781</v>
      </c>
      <c r="Q3" s="1" t="n">
        <v>30.4937496185303</v>
      </c>
      <c r="R3" s="1" t="s">
        <v>24</v>
      </c>
    </row>
    <row r="4" customFormat="false" ht="25" hidden="false" customHeight="false" outlineLevel="0" collapsed="false">
      <c r="A4" s="1" t="n">
        <v>17</v>
      </c>
      <c r="B4" s="1" t="n">
        <v>1</v>
      </c>
      <c r="C4" s="1" t="n">
        <v>2138</v>
      </c>
      <c r="D4" s="1" t="n">
        <v>1</v>
      </c>
      <c r="E4" s="1" t="s">
        <v>55</v>
      </c>
      <c r="F4" s="1" t="s">
        <v>56</v>
      </c>
      <c r="G4" s="1" t="s">
        <v>547</v>
      </c>
      <c r="H4" s="1" t="n">
        <v>400</v>
      </c>
      <c r="I4" s="1" t="s">
        <v>548</v>
      </c>
      <c r="J4" s="1" t="n">
        <v>19.41</v>
      </c>
      <c r="K4" s="1" t="n">
        <v>2.216</v>
      </c>
      <c r="L4" s="4" t="s">
        <v>549</v>
      </c>
      <c r="M4" s="1" t="s">
        <v>550</v>
      </c>
      <c r="N4" s="1" t="s">
        <v>57</v>
      </c>
      <c r="O4" s="1" t="str">
        <f aca="false">_xlfn.TEXTJOIN( ,0,Q4,", ",P4, )</f>
        <v>30.5587005615234, -91.2017211914063</v>
      </c>
      <c r="P4" s="1" t="n">
        <v>-91.2017211914063</v>
      </c>
      <c r="Q4" s="1" t="n">
        <v>30.5587005615234</v>
      </c>
      <c r="R4" s="1" t="s">
        <v>24</v>
      </c>
    </row>
    <row r="5" customFormat="false" ht="82.5" hidden="false" customHeight="false" outlineLevel="0" collapsed="false">
      <c r="A5" s="1" t="n">
        <v>21</v>
      </c>
      <c r="B5" s="1" t="n">
        <v>1</v>
      </c>
      <c r="C5" s="1" t="n">
        <v>2142</v>
      </c>
      <c r="D5" s="1" t="n">
        <v>1</v>
      </c>
      <c r="E5" s="1" t="s">
        <v>61</v>
      </c>
      <c r="F5" s="1" t="s">
        <v>62</v>
      </c>
      <c r="G5" s="1" t="s">
        <v>551</v>
      </c>
      <c r="H5" s="1" t="n">
        <v>480000</v>
      </c>
      <c r="I5" s="1" t="s">
        <v>552</v>
      </c>
      <c r="J5" s="1" t="n">
        <v>6.728</v>
      </c>
      <c r="K5" s="1" t="n">
        <v>0.768</v>
      </c>
      <c r="L5" s="4" t="s">
        <v>553</v>
      </c>
      <c r="M5" s="1" t="s">
        <v>554</v>
      </c>
      <c r="N5" s="1" t="s">
        <v>64</v>
      </c>
      <c r="O5" s="1" t="str">
        <f aca="false">_xlfn.TEXTJOIN( ,0,Q5,", ",P5, )</f>
        <v>30.4199104309082, -91.0726928710938</v>
      </c>
      <c r="P5" s="1" t="n">
        <v>-91.0726928710938</v>
      </c>
      <c r="Q5" s="1" t="n">
        <v>30.4199104309082</v>
      </c>
      <c r="R5" s="1" t="s">
        <v>24</v>
      </c>
    </row>
    <row r="6" customFormat="false" ht="25" hidden="false" customHeight="false" outlineLevel="0" collapsed="false">
      <c r="A6" s="1" t="n">
        <v>24</v>
      </c>
      <c r="B6" s="1" t="n">
        <v>1</v>
      </c>
      <c r="C6" s="1" t="n">
        <v>2145</v>
      </c>
      <c r="D6" s="1" t="n">
        <v>1</v>
      </c>
      <c r="E6" s="1" t="s">
        <v>69</v>
      </c>
      <c r="F6" s="1" t="s">
        <v>70</v>
      </c>
      <c r="H6" s="1" t="s">
        <v>37</v>
      </c>
      <c r="K6" s="1" t="n">
        <v>0</v>
      </c>
      <c r="L6" s="4" t="s">
        <v>555</v>
      </c>
      <c r="N6" s="1" t="s">
        <v>71</v>
      </c>
      <c r="O6" s="1" t="str">
        <f aca="false">_xlfn.TEXTJOIN( ,0,Q6,", ",P6, )</f>
        <v>30.3714904785156, -91.0303802490234</v>
      </c>
      <c r="P6" s="1" t="n">
        <v>-91.0303802490234</v>
      </c>
      <c r="Q6" s="1" t="n">
        <v>30.3714904785156</v>
      </c>
      <c r="R6" s="1" t="s">
        <v>24</v>
      </c>
    </row>
    <row r="7" customFormat="false" ht="36.5" hidden="false" customHeight="false" outlineLevel="0" collapsed="false">
      <c r="A7" s="1" t="n">
        <v>71</v>
      </c>
      <c r="B7" s="1" t="n">
        <v>1</v>
      </c>
      <c r="C7" s="1" t="n">
        <v>2192</v>
      </c>
      <c r="D7" s="1" t="n">
        <v>1</v>
      </c>
      <c r="E7" s="1" t="s">
        <v>162</v>
      </c>
      <c r="F7" s="1" t="s">
        <v>163</v>
      </c>
      <c r="G7" s="1" t="s">
        <v>556</v>
      </c>
      <c r="H7" s="1" t="n">
        <v>200000</v>
      </c>
      <c r="I7" s="1" t="s">
        <v>557</v>
      </c>
      <c r="J7" s="1" t="n">
        <v>6.21</v>
      </c>
      <c r="K7" s="1" t="n">
        <f aca="false">J7*1000/(24*365)</f>
        <v>0.708904109589041</v>
      </c>
      <c r="L7" s="4" t="s">
        <v>558</v>
      </c>
      <c r="M7" s="1" t="s">
        <v>559</v>
      </c>
      <c r="N7" s="1" t="s">
        <v>165</v>
      </c>
      <c r="O7" s="1" t="str">
        <f aca="false">_xlfn.TEXTJOIN( ,0,Q7,", ",P7, )</f>
        <v>30.4409770965576, -91.1886672973633</v>
      </c>
      <c r="P7" s="1" t="n">
        <v>-91.1886672973633</v>
      </c>
      <c r="Q7" s="1" t="n">
        <v>30.4409770965576</v>
      </c>
      <c r="R7" s="1" t="s">
        <v>24</v>
      </c>
    </row>
    <row r="8" customFormat="false" ht="13.8" hidden="false" customHeight="false" outlineLevel="0" collapsed="false">
      <c r="A8" s="1" t="n">
        <v>74</v>
      </c>
      <c r="B8" s="1" t="n">
        <v>1</v>
      </c>
      <c r="C8" s="1" t="n">
        <v>2195</v>
      </c>
      <c r="D8" s="1" t="n">
        <v>1</v>
      </c>
      <c r="E8" s="1" t="s">
        <v>169</v>
      </c>
      <c r="F8" s="1" t="s">
        <v>170</v>
      </c>
      <c r="G8" s="1" t="s">
        <v>171</v>
      </c>
      <c r="H8" s="1" t="s">
        <v>37</v>
      </c>
      <c r="J8" s="5"/>
      <c r="K8" s="1" t="n">
        <v>115.911854281148</v>
      </c>
      <c r="L8" s="4" t="s">
        <v>560</v>
      </c>
      <c r="N8" s="1" t="s">
        <v>172</v>
      </c>
      <c r="O8" s="1" t="str">
        <f aca="false">_xlfn.TEXTJOIN( ,0,Q8,", ",P8, )</f>
        <v>30.5783596038818, -91.2153167724609</v>
      </c>
      <c r="P8" s="1" t="n">
        <v>-91.2153167724609</v>
      </c>
      <c r="Q8" s="1" t="n">
        <v>30.5783596038818</v>
      </c>
      <c r="R8" s="1" t="s">
        <v>24</v>
      </c>
    </row>
    <row r="9" customFormat="false" ht="82.5" hidden="false" customHeight="false" outlineLevel="0" collapsed="false">
      <c r="A9" s="1" t="n">
        <v>89</v>
      </c>
      <c r="B9" s="1" t="n">
        <v>1</v>
      </c>
      <c r="C9" s="1" t="n">
        <v>2210</v>
      </c>
      <c r="D9" s="1" t="n">
        <v>1</v>
      </c>
      <c r="E9" s="1" t="s">
        <v>200</v>
      </c>
      <c r="F9" s="1" t="s">
        <v>561</v>
      </c>
      <c r="G9" s="1" t="s">
        <v>202</v>
      </c>
      <c r="H9" s="1" t="s">
        <v>562</v>
      </c>
      <c r="I9" s="1" t="s">
        <v>563</v>
      </c>
      <c r="J9" s="1" t="n">
        <f aca="false">K9*365*24/1000</f>
        <v>0.876</v>
      </c>
      <c r="K9" s="1" t="n">
        <v>0.1</v>
      </c>
      <c r="L9" s="4" t="s">
        <v>564</v>
      </c>
      <c r="M9" s="6" t="s">
        <v>565</v>
      </c>
      <c r="N9" s="1" t="s">
        <v>204</v>
      </c>
      <c r="O9" s="1" t="str">
        <f aca="false">_xlfn.TEXTJOIN( ,0,Q9,", ",P9, )</f>
        <v>30.4696006774902, -91.1760101318359</v>
      </c>
      <c r="P9" s="1" t="n">
        <v>-91.1760101318359</v>
      </c>
      <c r="Q9" s="1" t="n">
        <v>30.4696006774902</v>
      </c>
      <c r="R9" s="1" t="s">
        <v>24</v>
      </c>
    </row>
    <row r="10" customFormat="false" ht="105.5" hidden="false" customHeight="false" outlineLevel="0" collapsed="false">
      <c r="A10" s="1" t="n">
        <v>91</v>
      </c>
      <c r="B10" s="1" t="n">
        <v>1</v>
      </c>
      <c r="C10" s="1" t="n">
        <v>2212</v>
      </c>
      <c r="D10" s="1" t="n">
        <v>1</v>
      </c>
      <c r="E10" s="1" t="s">
        <v>207</v>
      </c>
      <c r="F10" s="1" t="s">
        <v>208</v>
      </c>
      <c r="G10" s="1" t="s">
        <v>209</v>
      </c>
      <c r="H10" s="1" t="n">
        <v>200000000</v>
      </c>
      <c r="I10" s="1" t="s">
        <v>210</v>
      </c>
      <c r="J10" s="1" t="n">
        <f aca="false">K10*24*365/365</f>
        <v>605.76</v>
      </c>
      <c r="K10" s="1" t="n">
        <v>25.24</v>
      </c>
      <c r="L10" s="4" t="s">
        <v>566</v>
      </c>
      <c r="M10" s="1" t="s">
        <v>567</v>
      </c>
      <c r="N10" s="1" t="s">
        <v>211</v>
      </c>
      <c r="O10" s="1" t="str">
        <f aca="false">_xlfn.TEXTJOIN( ,0,Q10,", ",P10, )</f>
        <v>30.3486194610596, -91.1361236572266</v>
      </c>
      <c r="P10" s="1" t="n">
        <v>-91.1361236572266</v>
      </c>
      <c r="Q10" s="1" t="n">
        <v>30.3486194610596</v>
      </c>
      <c r="R10" s="1" t="s">
        <v>24</v>
      </c>
    </row>
    <row r="11" customFormat="false" ht="13.8" hidden="false" customHeight="false" outlineLevel="0" collapsed="false">
      <c r="A11" s="1" t="n">
        <v>97</v>
      </c>
      <c r="B11" s="1" t="n">
        <v>1</v>
      </c>
      <c r="C11" s="1" t="n">
        <v>2218</v>
      </c>
      <c r="D11" s="1" t="n">
        <v>1</v>
      </c>
      <c r="E11" s="1" t="s">
        <v>221</v>
      </c>
      <c r="F11" s="1" t="s">
        <v>222</v>
      </c>
      <c r="G11" s="1" t="s">
        <v>568</v>
      </c>
      <c r="H11" s="1" t="n">
        <v>745000</v>
      </c>
      <c r="I11" s="1" t="s">
        <v>569</v>
      </c>
      <c r="J11" s="1" t="n">
        <v>40.56</v>
      </c>
      <c r="K11" s="1" t="n">
        <f aca="false">J11*1000/(24*365)</f>
        <v>4.63013698630137</v>
      </c>
      <c r="L11" s="4" t="s">
        <v>570</v>
      </c>
      <c r="M11" s="1" t="s">
        <v>571</v>
      </c>
      <c r="N11" s="1" t="s">
        <v>223</v>
      </c>
      <c r="O11" s="1" t="str">
        <f aca="false">_xlfn.TEXTJOIN( ,0,Q11,", ",P11, )</f>
        <v>30.509859085083, -91.1846466064453</v>
      </c>
      <c r="P11" s="1" t="n">
        <v>-91.1846466064453</v>
      </c>
      <c r="Q11" s="1" t="n">
        <v>30.509859085083</v>
      </c>
      <c r="R11" s="1" t="s">
        <v>24</v>
      </c>
    </row>
    <row r="12" customFormat="false" ht="82.5" hidden="false" customHeight="false" outlineLevel="0" collapsed="false">
      <c r="A12" s="1" t="n">
        <v>102</v>
      </c>
      <c r="B12" s="1" t="n">
        <v>1</v>
      </c>
      <c r="C12" s="1" t="n">
        <v>2223</v>
      </c>
      <c r="D12" s="1" t="n">
        <v>1</v>
      </c>
      <c r="E12" s="1" t="s">
        <v>235</v>
      </c>
      <c r="F12" s="1" t="s">
        <v>236</v>
      </c>
      <c r="G12" s="1" t="s">
        <v>572</v>
      </c>
      <c r="H12" s="1" t="n">
        <v>25000</v>
      </c>
      <c r="I12" s="1" t="s">
        <v>573</v>
      </c>
      <c r="J12" s="1" t="n">
        <v>55.56</v>
      </c>
      <c r="K12" s="1" t="n">
        <v>6.342</v>
      </c>
      <c r="L12" s="4" t="s">
        <v>574</v>
      </c>
      <c r="M12" s="1" t="s">
        <v>575</v>
      </c>
      <c r="N12" s="1" t="s">
        <v>238</v>
      </c>
      <c r="O12" s="1" t="str">
        <f aca="false">_xlfn.TEXTJOIN( ,0,Q12,", ",P12, )</f>
        <v>30.4835586547852, -91.1834487915039</v>
      </c>
      <c r="P12" s="1" t="n">
        <v>-91.1834487915039</v>
      </c>
      <c r="Q12" s="1" t="n">
        <v>30.4835586547852</v>
      </c>
      <c r="R12" s="1" t="s">
        <v>24</v>
      </c>
    </row>
    <row r="13" customFormat="false" ht="13.8" hidden="false" customHeight="false" outlineLevel="0" collapsed="false">
      <c r="A13" s="1" t="n">
        <v>105</v>
      </c>
      <c r="B13" s="1" t="n">
        <v>1</v>
      </c>
      <c r="C13" s="1" t="n">
        <v>2226</v>
      </c>
      <c r="D13" s="1" t="n">
        <v>1</v>
      </c>
      <c r="E13" s="1" t="s">
        <v>245</v>
      </c>
      <c r="F13" s="1" t="s">
        <v>246</v>
      </c>
      <c r="G13" s="1" t="s">
        <v>576</v>
      </c>
      <c r="H13" s="1" t="s">
        <v>577</v>
      </c>
      <c r="I13" s="1" t="s">
        <v>578</v>
      </c>
      <c r="J13" s="1" t="n">
        <v>0</v>
      </c>
      <c r="K13" s="1" t="n">
        <v>0</v>
      </c>
      <c r="L13" s="4" t="s">
        <v>579</v>
      </c>
      <c r="N13" s="1" t="s">
        <v>248</v>
      </c>
      <c r="O13" s="1" t="str">
        <f aca="false">_xlfn.TEXTJOIN( ,0,Q13,", ",P13, )</f>
        <v>30.5750007629395, -91.1972198486328</v>
      </c>
      <c r="P13" s="1" t="n">
        <v>-91.1972198486328</v>
      </c>
      <c r="Q13" s="1" t="n">
        <v>30.5750007629395</v>
      </c>
      <c r="R13" s="1" t="s">
        <v>24</v>
      </c>
    </row>
    <row r="14" customFormat="false" ht="117" hidden="false" customHeight="false" outlineLevel="0" collapsed="false">
      <c r="A14" s="1" t="n">
        <v>106</v>
      </c>
      <c r="B14" s="1" t="n">
        <v>1</v>
      </c>
      <c r="C14" s="1" t="n">
        <v>2227</v>
      </c>
      <c r="D14" s="1" t="n">
        <v>1</v>
      </c>
      <c r="E14" s="1" t="s">
        <v>249</v>
      </c>
      <c r="F14" s="1" t="s">
        <v>250</v>
      </c>
      <c r="G14" s="1" t="s">
        <v>580</v>
      </c>
      <c r="H14" s="6" t="s">
        <v>581</v>
      </c>
      <c r="J14" s="1" t="n">
        <v>0.1863</v>
      </c>
      <c r="K14" s="1" t="n">
        <f aca="false">J14*1000/(24*365)</f>
        <v>0.0212671232876712</v>
      </c>
      <c r="L14" s="4" t="s">
        <v>582</v>
      </c>
      <c r="M14" s="1" t="s">
        <v>583</v>
      </c>
      <c r="N14" s="1" t="s">
        <v>252</v>
      </c>
      <c r="O14" s="1" t="str">
        <f aca="false">_xlfn.TEXTJOIN( ,0,Q14,", ",P14, )</f>
        <v>30.4957695007324, -91.1731109619141</v>
      </c>
      <c r="P14" s="1" t="n">
        <v>-91.1731109619141</v>
      </c>
      <c r="Q14" s="1" t="n">
        <v>30.4957695007324</v>
      </c>
      <c r="R14" s="1" t="s">
        <v>24</v>
      </c>
    </row>
    <row r="15" customFormat="false" ht="197.5" hidden="false" customHeight="false" outlineLevel="0" collapsed="false">
      <c r="A15" s="1" t="n">
        <v>107</v>
      </c>
      <c r="B15" s="1" t="n">
        <v>1</v>
      </c>
      <c r="C15" s="1" t="n">
        <v>2228</v>
      </c>
      <c r="D15" s="1" t="n">
        <v>1</v>
      </c>
      <c r="E15" s="1" t="s">
        <v>253</v>
      </c>
      <c r="F15" s="1" t="s">
        <v>254</v>
      </c>
      <c r="G15" s="1" t="s">
        <v>584</v>
      </c>
      <c r="H15" s="6" t="s">
        <v>585</v>
      </c>
      <c r="J15" s="1" t="n">
        <v>4975.91</v>
      </c>
      <c r="K15" s="1" t="n">
        <v>568</v>
      </c>
      <c r="L15" s="4" t="s">
        <v>586</v>
      </c>
      <c r="M15" s="1" t="s">
        <v>587</v>
      </c>
      <c r="N15" s="1" t="s">
        <v>255</v>
      </c>
      <c r="O15" s="1" t="str">
        <f aca="false">_xlfn.TEXTJOIN( ,0,Q15,", ",P15, )</f>
        <v>30.5520133972168, -91.1785202026367</v>
      </c>
      <c r="P15" s="1" t="n">
        <v>-91.1785202026367</v>
      </c>
      <c r="Q15" s="1" t="n">
        <v>30.5520133972168</v>
      </c>
      <c r="R15" s="1" t="s">
        <v>24</v>
      </c>
    </row>
    <row r="16" customFormat="false" ht="25" hidden="false" customHeight="false" outlineLevel="0" collapsed="false">
      <c r="A16" s="1" t="n">
        <v>108</v>
      </c>
      <c r="B16" s="1" t="n">
        <v>1</v>
      </c>
      <c r="C16" s="1" t="n">
        <v>2229</v>
      </c>
      <c r="D16" s="1" t="n">
        <v>1</v>
      </c>
      <c r="E16" s="1" t="s">
        <v>256</v>
      </c>
      <c r="F16" s="1" t="s">
        <v>257</v>
      </c>
      <c r="G16" s="1" t="s">
        <v>588</v>
      </c>
      <c r="H16" s="1" t="n">
        <v>522000</v>
      </c>
      <c r="I16" s="1" t="s">
        <v>364</v>
      </c>
      <c r="J16" s="1" t="n">
        <f aca="false">J25*$H16/($H25)</f>
        <v>1690.16441142857</v>
      </c>
      <c r="K16" s="1" t="n">
        <f aca="false">K25*$H16/($H25)</f>
        <v>192.941142857143</v>
      </c>
      <c r="L16" s="4" t="s">
        <v>589</v>
      </c>
      <c r="N16" s="1" t="s">
        <v>259</v>
      </c>
      <c r="O16" s="1" t="str">
        <f aca="false">_xlfn.TEXTJOIN( ,0,Q16,", ",P16, )</f>
        <v>30.4849166870117, -91.1739196777344</v>
      </c>
      <c r="P16" s="1" t="n">
        <v>-91.1739196777344</v>
      </c>
      <c r="Q16" s="1" t="n">
        <v>30.4849166870117</v>
      </c>
      <c r="R16" s="1" t="s">
        <v>24</v>
      </c>
    </row>
    <row r="17" customFormat="false" ht="25" hidden="false" customHeight="false" outlineLevel="0" collapsed="false">
      <c r="A17" s="1" t="n">
        <v>109</v>
      </c>
      <c r="B17" s="1" t="n">
        <v>1</v>
      </c>
      <c r="C17" s="1" t="n">
        <v>2230</v>
      </c>
      <c r="D17" s="1" t="n">
        <v>1</v>
      </c>
      <c r="E17" s="1" t="s">
        <v>260</v>
      </c>
      <c r="F17" s="1" t="s">
        <v>261</v>
      </c>
      <c r="G17" s="1" t="s">
        <v>590</v>
      </c>
      <c r="H17" s="1" t="n">
        <v>450000</v>
      </c>
      <c r="I17" s="7" t="s">
        <v>591</v>
      </c>
      <c r="J17" s="1" t="n">
        <v>4000.5</v>
      </c>
      <c r="K17" s="1" t="n">
        <v>456.678</v>
      </c>
      <c r="L17" s="4" t="s">
        <v>592</v>
      </c>
      <c r="M17" s="1" t="s">
        <v>593</v>
      </c>
      <c r="N17" s="1" t="s">
        <v>262</v>
      </c>
      <c r="O17" s="1" t="str">
        <f aca="false">_xlfn.TEXTJOIN( ,0,Q17,", ",P17, )</f>
        <v>30.5601387023926, -91.2054977416992</v>
      </c>
      <c r="P17" s="1" t="n">
        <v>-91.2054977416992</v>
      </c>
      <c r="Q17" s="1" t="n">
        <v>30.5601387023926</v>
      </c>
      <c r="R17" s="1" t="s">
        <v>24</v>
      </c>
    </row>
    <row r="18" customFormat="false" ht="48" hidden="false" customHeight="false" outlineLevel="0" collapsed="false">
      <c r="A18" s="1" t="n">
        <v>114</v>
      </c>
      <c r="B18" s="1" t="n">
        <v>1</v>
      </c>
      <c r="C18" s="1" t="n">
        <v>2235</v>
      </c>
      <c r="D18" s="1" t="n">
        <v>1</v>
      </c>
      <c r="E18" s="1" t="s">
        <v>270</v>
      </c>
      <c r="F18" s="1" t="s">
        <v>271</v>
      </c>
      <c r="G18" s="1" t="s">
        <v>594</v>
      </c>
      <c r="H18" s="1" t="s">
        <v>595</v>
      </c>
      <c r="J18" s="1" t="n">
        <v>8530.13</v>
      </c>
      <c r="K18" s="1" t="n">
        <f aca="false">J18*1000/(24*365)</f>
        <v>973.759132420091</v>
      </c>
      <c r="L18" s="4" t="s">
        <v>596</v>
      </c>
      <c r="N18" s="1" t="s">
        <v>272</v>
      </c>
      <c r="O18" s="1" t="str">
        <f aca="false">_xlfn.TEXTJOIN( ,0,Q18,", ",P18, )</f>
        <v>30.4982032775879, -91.1891479492188</v>
      </c>
      <c r="P18" s="1" t="n">
        <v>-91.1891479492188</v>
      </c>
      <c r="Q18" s="1" t="n">
        <v>30.4982032775879</v>
      </c>
      <c r="R18" s="1" t="s">
        <v>24</v>
      </c>
    </row>
    <row r="19" customFormat="false" ht="117" hidden="false" customHeight="false" outlineLevel="0" collapsed="false">
      <c r="A19" s="1" t="n">
        <v>119</v>
      </c>
      <c r="B19" s="1" t="n">
        <v>1</v>
      </c>
      <c r="C19" s="1" t="n">
        <v>2240</v>
      </c>
      <c r="D19" s="1" t="n">
        <v>1</v>
      </c>
      <c r="E19" s="1" t="s">
        <v>280</v>
      </c>
      <c r="F19" s="1" t="s">
        <v>597</v>
      </c>
      <c r="H19" s="1" t="s">
        <v>37</v>
      </c>
      <c r="I19" s="1" t="s">
        <v>282</v>
      </c>
      <c r="J19" s="1" t="n">
        <v>0</v>
      </c>
      <c r="K19" s="1" t="n">
        <v>0</v>
      </c>
      <c r="L19" s="4" t="s">
        <v>598</v>
      </c>
      <c r="M19" s="1" t="s">
        <v>599</v>
      </c>
      <c r="N19" s="1" t="s">
        <v>283</v>
      </c>
      <c r="O19" s="1" t="str">
        <f aca="false">_xlfn.TEXTJOIN( ,0,Q19,", ",P19, )</f>
        <v>30.3580513000488, -91.0474319458008</v>
      </c>
      <c r="P19" s="1" t="n">
        <v>-91.0474319458008</v>
      </c>
      <c r="Q19" s="1" t="n">
        <v>30.3580513000488</v>
      </c>
      <c r="R19" s="1" t="s">
        <v>24</v>
      </c>
    </row>
    <row r="20" customFormat="false" ht="13.8" hidden="false" customHeight="false" outlineLevel="0" collapsed="false">
      <c r="A20" s="1" t="n">
        <v>120</v>
      </c>
      <c r="B20" s="1" t="n">
        <v>1</v>
      </c>
      <c r="C20" s="1" t="n">
        <v>2241</v>
      </c>
      <c r="D20" s="1" t="n">
        <v>1</v>
      </c>
      <c r="E20" s="1" t="s">
        <v>284</v>
      </c>
      <c r="F20" s="1" t="s">
        <v>597</v>
      </c>
      <c r="H20" s="1" t="s">
        <v>37</v>
      </c>
      <c r="I20" s="1" t="s">
        <v>282</v>
      </c>
      <c r="J20" s="1" t="n">
        <v>0</v>
      </c>
      <c r="K20" s="1" t="n">
        <v>0</v>
      </c>
      <c r="L20" s="4" t="s">
        <v>600</v>
      </c>
      <c r="M20" s="1" t="s">
        <v>601</v>
      </c>
      <c r="N20" s="1" t="s">
        <v>285</v>
      </c>
      <c r="O20" s="1" t="str">
        <f aca="false">_xlfn.TEXTJOIN( ,0,Q20,", ",P20, )</f>
        <v>30.4698791503906, -91.1358947753906</v>
      </c>
      <c r="P20" s="1" t="n">
        <v>-91.1358947753906</v>
      </c>
      <c r="Q20" s="1" t="n">
        <v>30.4698791503906</v>
      </c>
      <c r="R20" s="1" t="s">
        <v>24</v>
      </c>
    </row>
    <row r="21" customFormat="false" ht="13.8" hidden="false" customHeight="false" outlineLevel="0" collapsed="false">
      <c r="A21" s="1" t="n">
        <v>121</v>
      </c>
      <c r="B21" s="1" t="n">
        <v>1</v>
      </c>
      <c r="C21" s="1" t="n">
        <v>2242</v>
      </c>
      <c r="D21" s="1" t="n">
        <v>1</v>
      </c>
      <c r="E21" s="1" t="s">
        <v>286</v>
      </c>
      <c r="F21" s="1" t="s">
        <v>597</v>
      </c>
      <c r="H21" s="1" t="s">
        <v>37</v>
      </c>
      <c r="I21" s="1" t="s">
        <v>282</v>
      </c>
      <c r="J21" s="1" t="n">
        <v>0</v>
      </c>
      <c r="K21" s="1" t="n">
        <v>0</v>
      </c>
      <c r="L21" s="4" t="s">
        <v>600</v>
      </c>
      <c r="N21" s="1" t="s">
        <v>287</v>
      </c>
      <c r="O21" s="1" t="str">
        <f aca="false">_xlfn.TEXTJOIN( ,0,Q21,", ",P21, )</f>
        <v>30.490047454834, -91.074089050293</v>
      </c>
      <c r="P21" s="1" t="n">
        <v>-91.074089050293</v>
      </c>
      <c r="Q21" s="1" t="n">
        <v>30.490047454834</v>
      </c>
      <c r="R21" s="1" t="s">
        <v>24</v>
      </c>
    </row>
    <row r="22" customFormat="false" ht="13.8" hidden="false" customHeight="false" outlineLevel="0" collapsed="false">
      <c r="A22" s="1" t="n">
        <v>125</v>
      </c>
      <c r="B22" s="1" t="n">
        <v>1</v>
      </c>
      <c r="C22" s="1" t="n">
        <v>2246</v>
      </c>
      <c r="D22" s="1" t="n">
        <v>1</v>
      </c>
      <c r="E22" s="1" t="s">
        <v>293</v>
      </c>
      <c r="F22" s="1" t="s">
        <v>602</v>
      </c>
      <c r="G22" s="1" t="s">
        <v>295</v>
      </c>
      <c r="H22" s="1" t="s">
        <v>37</v>
      </c>
      <c r="J22" s="1" t="n">
        <v>0</v>
      </c>
      <c r="K22" s="1" t="n">
        <v>0</v>
      </c>
      <c r="N22" s="1" t="s">
        <v>296</v>
      </c>
      <c r="O22" s="1" t="str">
        <f aca="false">_xlfn.TEXTJOIN( ,0,Q22,", ",P22, )</f>
        <v>30.4735908508301, -91.0614700317383</v>
      </c>
      <c r="P22" s="1" t="n">
        <v>-91.0614700317383</v>
      </c>
      <c r="Q22" s="1" t="n">
        <v>30.4735908508301</v>
      </c>
      <c r="R22" s="1" t="s">
        <v>24</v>
      </c>
    </row>
    <row r="23" customFormat="false" ht="13.8" hidden="false" customHeight="false" outlineLevel="0" collapsed="false">
      <c r="A23" s="1" t="n">
        <v>128</v>
      </c>
      <c r="B23" s="1" t="n">
        <v>1</v>
      </c>
      <c r="C23" s="1" t="n">
        <v>2249</v>
      </c>
      <c r="D23" s="1" t="n">
        <v>1</v>
      </c>
      <c r="E23" s="1" t="s">
        <v>300</v>
      </c>
      <c r="F23" s="1" t="s">
        <v>301</v>
      </c>
      <c r="G23" s="1" t="s">
        <v>302</v>
      </c>
      <c r="J23" s="1" t="n">
        <v>0</v>
      </c>
      <c r="K23" s="1" t="n">
        <v>0</v>
      </c>
      <c r="N23" s="1" t="s">
        <v>303</v>
      </c>
      <c r="O23" s="1" t="str">
        <f aca="false">_xlfn.TEXTJOIN( ,0,Q23,", ",P23, )</f>
        <v>30.4733505249023, -91.0698165893555</v>
      </c>
      <c r="P23" s="1" t="n">
        <v>-91.0698165893555</v>
      </c>
      <c r="Q23" s="1" t="n">
        <v>30.4733505249023</v>
      </c>
      <c r="R23" s="1" t="s">
        <v>24</v>
      </c>
    </row>
    <row r="24" customFormat="false" ht="13.8" hidden="false" customHeight="false" outlineLevel="0" collapsed="false">
      <c r="A24" s="1" t="n">
        <v>129</v>
      </c>
      <c r="B24" s="1" t="n">
        <v>1</v>
      </c>
      <c r="C24" s="1" t="n">
        <v>2250</v>
      </c>
      <c r="D24" s="1" t="n">
        <v>1</v>
      </c>
      <c r="E24" s="1" t="s">
        <v>304</v>
      </c>
      <c r="F24" s="1" t="s">
        <v>603</v>
      </c>
      <c r="G24" s="1" t="s">
        <v>604</v>
      </c>
      <c r="H24" s="1" t="n">
        <v>75000000</v>
      </c>
      <c r="I24" s="1" t="s">
        <v>605</v>
      </c>
      <c r="J24" s="1" t="n">
        <f aca="false">K24*365*24/1000</f>
        <v>14.249892</v>
      </c>
      <c r="K24" s="1" t="n">
        <v>1.6267</v>
      </c>
      <c r="L24" s="4" t="s">
        <v>606</v>
      </c>
      <c r="M24" s="1" t="s">
        <v>607</v>
      </c>
      <c r="N24" s="1" t="s">
        <v>307</v>
      </c>
      <c r="O24" s="1" t="str">
        <f aca="false">_xlfn.TEXTJOIN( ,0,Q24,", ",P24, )</f>
        <v>30.50266456604, -91.1733932495117</v>
      </c>
      <c r="P24" s="1" t="n">
        <v>-91.1733932495117</v>
      </c>
      <c r="Q24" s="1" t="n">
        <v>30.50266456604</v>
      </c>
      <c r="R24" s="1" t="s">
        <v>24</v>
      </c>
    </row>
    <row r="25" customFormat="false" ht="25" hidden="false" customHeight="false" outlineLevel="0" collapsed="false">
      <c r="A25" s="1" t="n">
        <v>158</v>
      </c>
      <c r="B25" s="1" t="n">
        <v>1</v>
      </c>
      <c r="C25" s="1" t="n">
        <v>2279</v>
      </c>
      <c r="D25" s="1" t="n">
        <v>1</v>
      </c>
      <c r="E25" s="1" t="s">
        <v>361</v>
      </c>
      <c r="F25" s="1" t="s">
        <v>362</v>
      </c>
      <c r="G25" s="1" t="s">
        <v>363</v>
      </c>
      <c r="H25" s="1" t="n">
        <v>21000</v>
      </c>
      <c r="I25" s="1" t="s">
        <v>364</v>
      </c>
      <c r="J25" s="1" t="n">
        <f aca="false">K25*24*365/1000</f>
        <v>67.99512</v>
      </c>
      <c r="K25" s="1" t="n">
        <v>7.762</v>
      </c>
      <c r="L25" s="4" t="s">
        <v>608</v>
      </c>
      <c r="M25" s="1" t="s">
        <v>609</v>
      </c>
      <c r="N25" s="1" t="s">
        <v>365</v>
      </c>
      <c r="O25" s="1" t="str">
        <f aca="false">_xlfn.TEXTJOIN( ,0,Q25,", ",P25, )</f>
        <v>30.544900894165, -91.1660232543945</v>
      </c>
      <c r="P25" s="1" t="n">
        <v>-91.1660232543945</v>
      </c>
      <c r="Q25" s="1" t="n">
        <v>30.544900894165</v>
      </c>
      <c r="R25" s="1" t="s">
        <v>24</v>
      </c>
    </row>
    <row r="26" customFormat="false" ht="13.8" hidden="false" customHeight="false" outlineLevel="0" collapsed="false">
      <c r="A26" s="1" t="n">
        <v>167</v>
      </c>
      <c r="B26" s="1" t="n">
        <v>1</v>
      </c>
      <c r="C26" s="1" t="n">
        <v>2288</v>
      </c>
      <c r="D26" s="1" t="n">
        <v>1</v>
      </c>
      <c r="E26" s="1" t="s">
        <v>379</v>
      </c>
      <c r="F26" s="1" t="s">
        <v>610</v>
      </c>
      <c r="H26" s="1" t="s">
        <v>37</v>
      </c>
      <c r="J26" s="1" t="n">
        <v>0</v>
      </c>
      <c r="K26" s="1" t="n">
        <v>0</v>
      </c>
      <c r="L26" s="4" t="s">
        <v>611</v>
      </c>
      <c r="M26" s="1" t="s">
        <v>612</v>
      </c>
      <c r="N26" s="1" t="s">
        <v>381</v>
      </c>
      <c r="O26" s="1" t="str">
        <f aca="false">_xlfn.TEXTJOIN( ,0,Q26,", ",P26, )</f>
        <v>30.5138607025147, -91.178581237793</v>
      </c>
      <c r="P26" s="1" t="n">
        <v>-91.178581237793</v>
      </c>
      <c r="Q26" s="1" t="n">
        <v>30.5138607025147</v>
      </c>
      <c r="R26" s="1" t="s">
        <v>24</v>
      </c>
    </row>
    <row r="27" customFormat="false" ht="25" hidden="false" customHeight="false" outlineLevel="0" collapsed="false">
      <c r="A27" s="1" t="n">
        <v>171</v>
      </c>
      <c r="B27" s="1" t="n">
        <v>1</v>
      </c>
      <c r="C27" s="1" t="n">
        <v>2292</v>
      </c>
      <c r="D27" s="1" t="n">
        <v>1</v>
      </c>
      <c r="E27" s="1" t="s">
        <v>389</v>
      </c>
      <c r="F27" s="1" t="s">
        <v>613</v>
      </c>
      <c r="H27" s="1" t="s">
        <v>37</v>
      </c>
      <c r="K27" s="1" t="n">
        <v>0</v>
      </c>
      <c r="L27" s="4" t="s">
        <v>555</v>
      </c>
      <c r="N27" s="1" t="s">
        <v>391</v>
      </c>
      <c r="O27" s="1" t="str">
        <f aca="false">_xlfn.TEXTJOIN( ,0,Q27,", ",P27, )</f>
        <v>30.3766899108887, -91.0486221313477</v>
      </c>
      <c r="P27" s="1" t="n">
        <v>-91.0486221313477</v>
      </c>
      <c r="Q27" s="1" t="n">
        <v>30.3766899108887</v>
      </c>
      <c r="R27" s="1" t="s">
        <v>24</v>
      </c>
    </row>
    <row r="28" customFormat="false" ht="48" hidden="false" customHeight="false" outlineLevel="0" collapsed="false">
      <c r="A28" s="1" t="n">
        <v>173</v>
      </c>
      <c r="B28" s="1" t="n">
        <v>1</v>
      </c>
      <c r="C28" s="1" t="n">
        <v>2294</v>
      </c>
      <c r="D28" s="1" t="n">
        <v>1</v>
      </c>
      <c r="E28" s="1" t="s">
        <v>393</v>
      </c>
      <c r="F28" s="1" t="s">
        <v>394</v>
      </c>
      <c r="G28" s="1" t="s">
        <v>614</v>
      </c>
      <c r="H28" s="8" t="s">
        <v>615</v>
      </c>
      <c r="J28" s="1" t="n">
        <v>13.97</v>
      </c>
      <c r="K28" s="1" t="n">
        <f aca="false">J28*1000/(24*365)</f>
        <v>1.59474885844749</v>
      </c>
      <c r="L28" s="4" t="s">
        <v>616</v>
      </c>
      <c r="M28" s="1" t="s">
        <v>617</v>
      </c>
      <c r="N28" s="1" t="s">
        <v>395</v>
      </c>
      <c r="O28" s="1" t="str">
        <f aca="false">_xlfn.TEXTJOIN( ,0,Q28,", ",P28, )</f>
        <v>30.5834808349609, -91.2405471801758</v>
      </c>
      <c r="P28" s="1" t="n">
        <v>-91.2405471801758</v>
      </c>
      <c r="Q28" s="1" t="n">
        <v>30.5834808349609</v>
      </c>
      <c r="R28" s="1" t="s">
        <v>24</v>
      </c>
    </row>
    <row r="29" customFormat="false" ht="13.8" hidden="false" customHeight="false" outlineLevel="0" collapsed="false">
      <c r="A29" s="1" t="n">
        <v>177</v>
      </c>
      <c r="B29" s="1" t="n">
        <v>1</v>
      </c>
      <c r="C29" s="1" t="n">
        <v>2298</v>
      </c>
      <c r="D29" s="1" t="n">
        <v>1</v>
      </c>
      <c r="E29" s="1" t="s">
        <v>402</v>
      </c>
      <c r="F29" s="1" t="s">
        <v>597</v>
      </c>
      <c r="H29" s="1" t="n">
        <v>0</v>
      </c>
      <c r="I29" s="1" t="s">
        <v>16</v>
      </c>
      <c r="J29" s="1" t="n">
        <v>0</v>
      </c>
      <c r="K29" s="1" t="n">
        <v>0</v>
      </c>
      <c r="L29" s="4" t="s">
        <v>611</v>
      </c>
      <c r="N29" s="1" t="s">
        <v>404</v>
      </c>
      <c r="O29" s="1" t="str">
        <f aca="false">_xlfn.TEXTJOIN( ,0,Q29,", ",P29, )</f>
        <v>30.3896331787109, -91.0701904296875</v>
      </c>
      <c r="P29" s="1" t="n">
        <v>-91.0701904296875</v>
      </c>
      <c r="Q29" s="1" t="n">
        <v>30.3896331787109</v>
      </c>
      <c r="R29" s="1" t="s">
        <v>24</v>
      </c>
    </row>
    <row r="30" customFormat="false" ht="13.8" hidden="false" customHeight="false" outlineLevel="0" collapsed="false">
      <c r="A30" s="1" t="n">
        <v>180</v>
      </c>
      <c r="B30" s="1" t="n">
        <v>1</v>
      </c>
      <c r="C30" s="1" t="n">
        <v>2301</v>
      </c>
      <c r="D30" s="1" t="n">
        <v>1</v>
      </c>
      <c r="E30" s="1" t="s">
        <v>408</v>
      </c>
      <c r="F30" s="1" t="s">
        <v>618</v>
      </c>
      <c r="N30" s="1" t="s">
        <v>410</v>
      </c>
      <c r="O30" s="1" t="str">
        <f aca="false">_xlfn.TEXTJOIN( ,0,Q30,", ",P30, )</f>
        <v>30.4162292480469, -91.137565612793</v>
      </c>
      <c r="P30" s="1" t="n">
        <v>-91.137565612793</v>
      </c>
      <c r="Q30" s="1" t="n">
        <v>30.4162292480469</v>
      </c>
      <c r="R30" s="1" t="s">
        <v>24</v>
      </c>
    </row>
    <row r="31" customFormat="false" ht="82.5" hidden="false" customHeight="false" outlineLevel="0" collapsed="false">
      <c r="A31" s="1" t="n">
        <v>184</v>
      </c>
      <c r="B31" s="1" t="n">
        <v>1</v>
      </c>
      <c r="C31" s="1" t="n">
        <v>2305</v>
      </c>
      <c r="D31" s="1" t="n">
        <v>1</v>
      </c>
      <c r="E31" s="1" t="s">
        <v>419</v>
      </c>
      <c r="F31" s="1" t="s">
        <v>420</v>
      </c>
      <c r="H31" s="1" t="n">
        <v>440</v>
      </c>
      <c r="I31" s="1" t="s">
        <v>421</v>
      </c>
      <c r="J31" s="1" t="n">
        <f aca="false">K31*24*365/1000</f>
        <v>2260.08</v>
      </c>
      <c r="K31" s="1" t="n">
        <v>258</v>
      </c>
      <c r="L31" s="4" t="s">
        <v>619</v>
      </c>
      <c r="M31" s="1" t="s">
        <v>620</v>
      </c>
      <c r="N31" s="1" t="s">
        <v>422</v>
      </c>
      <c r="O31" s="1" t="str">
        <f aca="false">_xlfn.TEXTJOIN( ,0,Q31,", ",P31, )</f>
        <v>30.4683704376221, -91.1884918212891</v>
      </c>
      <c r="P31" s="1" t="n">
        <v>-91.1884918212891</v>
      </c>
      <c r="Q31" s="1" t="n">
        <v>30.4683704376221</v>
      </c>
      <c r="R31" s="1" t="s">
        <v>24</v>
      </c>
    </row>
    <row r="32" customFormat="false" ht="117" hidden="false" customHeight="false" outlineLevel="0" collapsed="false">
      <c r="A32" s="1" t="n">
        <v>188</v>
      </c>
      <c r="B32" s="1" t="n">
        <v>1</v>
      </c>
      <c r="C32" s="1" t="n">
        <v>2309</v>
      </c>
      <c r="D32" s="1" t="n">
        <v>1</v>
      </c>
      <c r="E32" s="1" t="s">
        <v>429</v>
      </c>
      <c r="F32" s="1" t="s">
        <v>621</v>
      </c>
      <c r="G32" s="1" t="s">
        <v>622</v>
      </c>
      <c r="H32" s="1" t="n">
        <v>40000000</v>
      </c>
      <c r="I32" s="8" t="s">
        <v>623</v>
      </c>
      <c r="J32" s="1" t="n">
        <v>178.88</v>
      </c>
      <c r="K32" s="1" t="n">
        <f aca="false">J32*1000/(24*365)</f>
        <v>20.4200913242009</v>
      </c>
      <c r="L32" s="6" t="s">
        <v>624</v>
      </c>
      <c r="M32" s="1" t="s">
        <v>625</v>
      </c>
      <c r="N32" s="1" t="s">
        <v>431</v>
      </c>
      <c r="O32" s="1" t="str">
        <f aca="false">_xlfn.TEXTJOIN( ,0,Q32,", ",P32, )</f>
        <v>30.4722213745117, -91.1930541992188</v>
      </c>
      <c r="P32" s="1" t="n">
        <v>-91.1930541992188</v>
      </c>
      <c r="Q32" s="1" t="n">
        <v>30.4722213745117</v>
      </c>
      <c r="R32" s="1" t="s">
        <v>24</v>
      </c>
    </row>
    <row r="33" customFormat="false" ht="13.8" hidden="false" customHeight="false" outlineLevel="0" collapsed="false">
      <c r="A33" s="1" t="n">
        <v>189</v>
      </c>
      <c r="B33" s="1" t="n">
        <v>1</v>
      </c>
      <c r="C33" s="1" t="n">
        <v>2310</v>
      </c>
      <c r="D33" s="1" t="n">
        <v>1</v>
      </c>
      <c r="E33" s="1" t="s">
        <v>432</v>
      </c>
      <c r="F33" s="1" t="s">
        <v>597</v>
      </c>
      <c r="H33" s="1" t="n">
        <v>0</v>
      </c>
      <c r="I33" s="1" t="s">
        <v>16</v>
      </c>
      <c r="J33" s="1" t="n">
        <v>0</v>
      </c>
      <c r="K33" s="1" t="n">
        <v>0</v>
      </c>
      <c r="L33" s="4" t="s">
        <v>611</v>
      </c>
      <c r="N33" s="1" t="s">
        <v>434</v>
      </c>
      <c r="O33" s="1" t="str">
        <f aca="false">_xlfn.TEXTJOIN( ,0,Q33,", ",P33, )</f>
        <v>30.4715404510498, -91.0920333862305</v>
      </c>
      <c r="P33" s="1" t="n">
        <v>-91.0920333862305</v>
      </c>
      <c r="Q33" s="1" t="n">
        <v>30.4715404510498</v>
      </c>
      <c r="R33" s="1" t="s">
        <v>24</v>
      </c>
    </row>
    <row r="34" customFormat="false" ht="36.5" hidden="false" customHeight="false" outlineLevel="0" collapsed="false">
      <c r="A34" s="1" t="n">
        <v>191</v>
      </c>
      <c r="B34" s="1" t="n">
        <v>1</v>
      </c>
      <c r="C34" s="1" t="n">
        <v>2312</v>
      </c>
      <c r="D34" s="1" t="n">
        <v>1</v>
      </c>
      <c r="E34" s="1" t="s">
        <v>437</v>
      </c>
      <c r="F34" s="6" t="s">
        <v>626</v>
      </c>
      <c r="G34" s="1" t="s">
        <v>627</v>
      </c>
      <c r="H34" s="1" t="s">
        <v>37</v>
      </c>
      <c r="K34" s="1" t="n">
        <v>0</v>
      </c>
      <c r="L34" s="4" t="s">
        <v>555</v>
      </c>
      <c r="N34" s="1" t="s">
        <v>439</v>
      </c>
      <c r="O34" s="1" t="str">
        <f aca="false">_xlfn.TEXTJOIN( ,0,Q34,", ",P34, )</f>
        <v>30.4684200286865, -91.1776428222656</v>
      </c>
      <c r="P34" s="1" t="n">
        <v>-91.1776428222656</v>
      </c>
      <c r="Q34" s="1" t="n">
        <v>30.4684200286865</v>
      </c>
      <c r="R34" s="1" t="s">
        <v>24</v>
      </c>
    </row>
    <row r="35" customFormat="false" ht="71" hidden="false" customHeight="false" outlineLevel="0" collapsed="false">
      <c r="A35" s="1" t="n">
        <v>196</v>
      </c>
      <c r="B35" s="1" t="n">
        <v>1</v>
      </c>
      <c r="C35" s="1" t="n">
        <v>2317</v>
      </c>
      <c r="D35" s="1" t="n">
        <v>1</v>
      </c>
      <c r="E35" s="1" t="s">
        <v>447</v>
      </c>
      <c r="F35" s="1" t="s">
        <v>448</v>
      </c>
      <c r="G35" s="6" t="s">
        <v>628</v>
      </c>
      <c r="H35" s="1" t="n">
        <v>450000</v>
      </c>
      <c r="I35" s="1" t="s">
        <v>629</v>
      </c>
      <c r="J35" s="1" t="n">
        <v>102.15</v>
      </c>
      <c r="K35" s="1" t="n">
        <f aca="false">J35*1000/(24*365)</f>
        <v>11.6609589041096</v>
      </c>
      <c r="L35" s="4" t="s">
        <v>630</v>
      </c>
      <c r="M35" s="1" t="s">
        <v>631</v>
      </c>
      <c r="N35" s="1" t="s">
        <v>450</v>
      </c>
      <c r="O35" s="1" t="str">
        <f aca="false">_xlfn.TEXTJOIN( ,0,Q35,", ",P35, )</f>
        <v>30.5651206970215, -91.1817779541016</v>
      </c>
      <c r="P35" s="1" t="n">
        <v>-91.1817779541016</v>
      </c>
      <c r="Q35" s="1" t="n">
        <v>30.5651206970215</v>
      </c>
      <c r="R35" s="1" t="s">
        <v>24</v>
      </c>
    </row>
    <row r="36" customFormat="false" ht="125.5" hidden="false" customHeight="false" outlineLevel="0" collapsed="false">
      <c r="A36" s="1" t="n">
        <v>200</v>
      </c>
      <c r="B36" s="1" t="n">
        <v>1</v>
      </c>
      <c r="C36" s="1" t="n">
        <v>2321</v>
      </c>
      <c r="D36" s="1" t="n">
        <v>1</v>
      </c>
      <c r="E36" s="1" t="s">
        <v>458</v>
      </c>
      <c r="F36" s="1" t="s">
        <v>632</v>
      </c>
      <c r="G36" s="1" t="s">
        <v>633</v>
      </c>
      <c r="H36" s="1" t="n">
        <v>3500</v>
      </c>
      <c r="I36" s="1" t="s">
        <v>634</v>
      </c>
      <c r="J36" s="1" t="n">
        <v>0.009547</v>
      </c>
      <c r="K36" s="1" t="n">
        <f aca="false">J36*1000/(24*365)</f>
        <v>0.0010898401826484</v>
      </c>
      <c r="L36" s="6" t="s">
        <v>635</v>
      </c>
      <c r="M36" s="1" t="s">
        <v>636</v>
      </c>
      <c r="N36" s="1" t="s">
        <v>459</v>
      </c>
      <c r="O36" s="1" t="str">
        <f aca="false">_xlfn.TEXTJOIN( ,0,Q36,", ",P36, )</f>
        <v>30.5088882446289, -91.1875</v>
      </c>
      <c r="P36" s="1" t="n">
        <v>-91.1875</v>
      </c>
      <c r="Q36" s="1" t="n">
        <v>30.5088882446289</v>
      </c>
      <c r="R36" s="1" t="s">
        <v>24</v>
      </c>
    </row>
    <row r="37" customFormat="false" ht="25" hidden="false" customHeight="false" outlineLevel="0" collapsed="false">
      <c r="A37" s="1" t="n">
        <v>218</v>
      </c>
      <c r="B37" s="1" t="n">
        <v>1</v>
      </c>
      <c r="C37" s="1" t="n">
        <v>4195</v>
      </c>
      <c r="D37" s="1" t="n">
        <v>1</v>
      </c>
      <c r="E37" s="1" t="s">
        <v>497</v>
      </c>
      <c r="F37" s="1" t="s">
        <v>498</v>
      </c>
      <c r="G37" s="1" t="s">
        <v>637</v>
      </c>
      <c r="H37" s="1" t="s">
        <v>638</v>
      </c>
      <c r="I37" s="1" t="s">
        <v>210</v>
      </c>
      <c r="J37" s="1" t="n">
        <f aca="false">J10*$H37/$H10</f>
        <v>363.456</v>
      </c>
      <c r="K37" s="1" t="n">
        <f aca="false">K10*$H37/$H10</f>
        <v>15.144</v>
      </c>
      <c r="L37" s="4" t="s">
        <v>639</v>
      </c>
      <c r="N37" s="1" t="s">
        <v>499</v>
      </c>
      <c r="O37" s="1" t="str">
        <f aca="false">_xlfn.TEXTJOIN( ,0,Q37,", ",P37, )</f>
        <v>30.5342597961426, -91.2015914916992</v>
      </c>
      <c r="P37" s="1" t="n">
        <v>-91.2015914916992</v>
      </c>
      <c r="Q37" s="1" t="n">
        <v>30.5342597961426</v>
      </c>
      <c r="R37" s="1" t="s">
        <v>500</v>
      </c>
    </row>
    <row r="38" customFormat="false" ht="25" hidden="false" customHeight="false" outlineLevel="0" collapsed="false">
      <c r="A38" s="1" t="n">
        <v>220</v>
      </c>
      <c r="B38" s="1" t="n">
        <v>1</v>
      </c>
      <c r="C38" s="1" t="n">
        <v>4756</v>
      </c>
      <c r="D38" s="1" t="n">
        <v>1</v>
      </c>
      <c r="E38" s="1" t="s">
        <v>502</v>
      </c>
      <c r="F38" s="1" t="s">
        <v>503</v>
      </c>
      <c r="G38" s="1" t="s">
        <v>640</v>
      </c>
      <c r="H38" s="1" t="n">
        <v>600000</v>
      </c>
      <c r="I38" s="1" t="s">
        <v>641</v>
      </c>
      <c r="J38" s="1" t="n">
        <f aca="false">K38*24*365/1000</f>
        <v>3080.892</v>
      </c>
      <c r="K38" s="1" t="n">
        <v>351.7</v>
      </c>
      <c r="L38" s="4" t="s">
        <v>642</v>
      </c>
      <c r="N38" s="1" t="s">
        <v>505</v>
      </c>
      <c r="O38" s="1" t="str">
        <f aca="false">_xlfn.TEXTJOIN( ,0,Q38,", ",P38, )</f>
        <v>30.6132507324219, -91.2333297729492</v>
      </c>
      <c r="P38" s="1" t="n">
        <v>-91.2333297729492</v>
      </c>
      <c r="Q38" s="1" t="n">
        <v>30.6132507324219</v>
      </c>
      <c r="R38" s="1" t="s">
        <v>506</v>
      </c>
    </row>
    <row r="39" customFormat="false" ht="59.5" hidden="false" customHeight="false" outlineLevel="0" collapsed="false">
      <c r="A39" s="1" t="n">
        <v>222</v>
      </c>
      <c r="B39" s="1" t="n">
        <v>1</v>
      </c>
      <c r="C39" s="1" t="n">
        <v>4758</v>
      </c>
      <c r="D39" s="1" t="n">
        <v>1</v>
      </c>
      <c r="E39" s="1" t="s">
        <v>509</v>
      </c>
      <c r="F39" s="1" t="s">
        <v>510</v>
      </c>
      <c r="G39" s="1" t="s">
        <v>643</v>
      </c>
      <c r="H39" s="1" t="n">
        <v>65830</v>
      </c>
      <c r="I39" s="1" t="s">
        <v>644</v>
      </c>
      <c r="J39" s="1" t="n">
        <v>0</v>
      </c>
      <c r="K39" s="1" t="n">
        <v>0</v>
      </c>
      <c r="L39" s="4" t="s">
        <v>645</v>
      </c>
      <c r="N39" s="1" t="s">
        <v>511</v>
      </c>
      <c r="O39" s="1" t="str">
        <f aca="false">_xlfn.TEXTJOIN( ,0,Q39,", ",P39, )</f>
        <v>30.6326999664307, -91.1171035766602</v>
      </c>
      <c r="P39" s="1" t="n">
        <v>-91.1171035766602</v>
      </c>
      <c r="Q39" s="1" t="n">
        <v>30.6326999664307</v>
      </c>
      <c r="R39" s="1" t="s">
        <v>506</v>
      </c>
    </row>
    <row r="40" customFormat="false" ht="13.8" hidden="false" customHeight="false" outlineLevel="0" collapsed="false">
      <c r="A40" s="1" t="n">
        <v>224</v>
      </c>
      <c r="B40" s="1" t="n">
        <v>1</v>
      </c>
      <c r="C40" s="1" t="n">
        <v>4760</v>
      </c>
      <c r="D40" s="1" t="n">
        <v>1</v>
      </c>
      <c r="E40" s="1" t="s">
        <v>514</v>
      </c>
      <c r="F40" s="1" t="s">
        <v>515</v>
      </c>
      <c r="G40" s="1" t="s">
        <v>646</v>
      </c>
      <c r="H40" s="1" t="n">
        <v>40000</v>
      </c>
      <c r="I40" s="1" t="s">
        <v>647</v>
      </c>
      <c r="J40" s="1" t="n">
        <f aca="false">K40*365*24/1000</f>
        <v>455.52</v>
      </c>
      <c r="K40" s="1" t="n">
        <v>52</v>
      </c>
      <c r="L40" s="1" t="s">
        <v>648</v>
      </c>
      <c r="M40" s="1" t="s">
        <v>649</v>
      </c>
      <c r="N40" s="1" t="s">
        <v>516</v>
      </c>
      <c r="O40" s="1" t="str">
        <f aca="false">_xlfn.TEXTJOIN( ,0,Q40,", ",P40, )</f>
        <v>30.6506443023682, -91.2811660766602</v>
      </c>
      <c r="P40" s="1" t="n">
        <v>-91.2811660766602</v>
      </c>
      <c r="Q40" s="1" t="n">
        <v>30.6506443023682</v>
      </c>
      <c r="R40" s="1" t="s">
        <v>506</v>
      </c>
    </row>
    <row r="41" customFormat="false" ht="36.5" hidden="false" customHeight="false" outlineLevel="0" collapsed="false">
      <c r="A41" s="1" t="n">
        <v>225</v>
      </c>
      <c r="B41" s="1" t="n">
        <v>1</v>
      </c>
      <c r="C41" s="1" t="n">
        <v>4761</v>
      </c>
      <c r="D41" s="1" t="n">
        <v>1</v>
      </c>
      <c r="E41" s="1" t="s">
        <v>517</v>
      </c>
      <c r="F41" s="1" t="s">
        <v>518</v>
      </c>
      <c r="G41" s="1" t="s">
        <v>519</v>
      </c>
      <c r="H41" s="1" t="n">
        <v>0</v>
      </c>
      <c r="J41" s="1" t="n">
        <v>0</v>
      </c>
      <c r="K41" s="1" t="n">
        <v>0</v>
      </c>
      <c r="L41" s="4" t="s">
        <v>650</v>
      </c>
      <c r="M41" s="1" t="s">
        <v>651</v>
      </c>
      <c r="N41" s="1" t="s">
        <v>520</v>
      </c>
      <c r="O41" s="1" t="str">
        <f aca="false">_xlfn.TEXTJOIN( ,0,Q41,", ",P41, )</f>
        <v>30.6401462554932, -91.2522506713867</v>
      </c>
      <c r="P41" s="1" t="n">
        <v>-91.2522506713867</v>
      </c>
      <c r="Q41" s="1" t="n">
        <v>30.6401462554932</v>
      </c>
      <c r="R41" s="1" t="s">
        <v>506</v>
      </c>
    </row>
    <row r="42" customFormat="false" ht="13.8" hidden="false" customHeight="false" outlineLevel="0" collapsed="false">
      <c r="A42" s="1" t="n">
        <v>230</v>
      </c>
      <c r="B42" s="1" t="n">
        <v>1</v>
      </c>
      <c r="C42" s="1" t="n">
        <v>4766</v>
      </c>
      <c r="D42" s="1" t="n">
        <v>1</v>
      </c>
      <c r="E42" s="1" t="s">
        <v>530</v>
      </c>
      <c r="F42" s="1" t="s">
        <v>531</v>
      </c>
      <c r="H42" s="1" t="s">
        <v>37</v>
      </c>
      <c r="K42" s="1" t="n">
        <v>115.911854281148</v>
      </c>
      <c r="L42" s="4" t="s">
        <v>652</v>
      </c>
      <c r="N42" s="1" t="s">
        <v>532</v>
      </c>
      <c r="O42" s="1" t="str">
        <f aca="false">_xlfn.TEXTJOIN( ,0,Q42,", ",P42, )</f>
        <v>30.6495399475098, -91.2841110229492</v>
      </c>
      <c r="P42" s="1" t="n">
        <v>-91.2841110229492</v>
      </c>
      <c r="Q42" s="1" t="n">
        <v>30.6495399475098</v>
      </c>
      <c r="R42" s="1" t="s">
        <v>506</v>
      </c>
    </row>
    <row r="43" customFormat="false" ht="13.8" hidden="false" customHeight="false" outlineLevel="0" collapsed="false">
      <c r="J43" s="1" t="s">
        <v>653</v>
      </c>
      <c r="K43" s="1" t="n">
        <v>115.911854281148</v>
      </c>
    </row>
    <row r="1048576" customFormat="false" ht="12.8" hidden="false" customHeight="false" outlineLevel="0" collapsed="false"/>
  </sheetData>
  <hyperlinks>
    <hyperlink ref="M2" r:id="rId1" display="https://www.iea.org/data-and-statistics/charts/comparison-of-the-emissions-intensity-of-different-hydrogen-production-routes-2021"/>
    <hyperlink ref="G3" r:id="rId2" display="https://www.prnewswire.com/news-releases/albemarle-expands-production-capabilities-for-finished-polyolefin-catalysts-at-its-baton-rouge-facility-138036378.html"/>
    <hyperlink ref="M3" r:id="rId3" display="https://www.albemarle.com/cl/en/sustainability/sustainability-reporting-resources/sustainability-performance-data"/>
    <hyperlink ref="G5" r:id="rId4" display="https://www.wafb.com/story/4923309/a-history-of-coca-cola-in-baton-rouge-1971/"/>
    <hyperlink ref="G7" r:id="rId5" display="https://lsureveille.com/150236/news/rum-distillery-plans-to-make-use-of-louisiana-sugar-cane/"/>
    <hyperlink ref="G8" r:id="rId6" display="https://trecora.com/locations/baton-rouge/"/>
    <hyperlink ref="G9" r:id="rId7" display="https://www.dolese.com/"/>
    <hyperlink ref="M11" r:id="rId8" display="https://www.google.com/url?sa=t&amp;source=web&amp;rct=j&amp;opi=89978449&amp;url=https://mcilvainecompany.com/Decision_Tree/subscriber/Tree/DescriptionTextLinks/BabWilcox/SulfurOutotecBrochure.pdf&amp;ved=2ahUKEwi147yHov6UAxV-hIkEHccqHQ8QFnoECBoQAQ&amp;usg=AOvVaw0Fh4n8YTw1b1-V87oX1ocw"/>
    <hyperlink ref="M12" r:id="rId9" display="https://www.google.com/url?sa=t&amp;source=web&amp;rct=j&amp;url=http%3A%2F%2Fwww.polydynamics.com%2FGREENHOUSE_GASES_INTERNET_VERSION_WORLD_BANK.pdf&amp;ved=0CAUQ1fkOahcKEwjg_PT8sP-UAxUAAAAAHQAAAAAQAw&amp;opi=89978449"/>
    <hyperlink ref="M14" r:id="rId10" display="https://www.google.com/url?sa=t&amp;source=web&amp;rct=j&amp;url=https%3A%2F%2Fpsecommunity.org%2Fwp-content%2Fplugins%2Fwpor%2Fincludes%2Ffile%2F2506%2FLAPSE-2025.0227-1v1.pdf&amp;ved=0CAEQ1fkOahcKEwjop4Hzt4WVAxUAAAAAHQAAAAAQBQ&amp;opi=89978449"/>
    <hyperlink ref="G16" r:id="rId11" display="https://www.google.com/url?sa=t&amp;source=web&amp;rct=j&amp;url=https%3A%2F%2Fcorporate.exxonmobil.com%2F-%2Fmedia%2Fglobal%2Ffiles%2Flocations%2Funited-states-operations%2Fbaton-rouge%2F2022-brrf-fact-sheet.pdf&amp;ved=0CAYQ1fkOahcKEwiwgpKhi_yVAxUAAAAAHQAAAAAQBA&amp;opi=89978449"/>
    <hyperlink ref="G17" r:id="rId12" display="https://corporate.exxonmobil.com/news/news-releases/2022/1206_exxonmobil-doubles-polypropylene-production-at-baton-rouge"/>
    <hyperlink ref="M17" r:id="rId13" display="https://www.sciencedirect.com/science/article/pii/S2542435120306267"/>
    <hyperlink ref="G18" r:id="rId14" display="https://www.opportunitylouisiana.gov/news/gov-edwards-and-formosa-plastics-announce-332-million-expansion"/>
    <hyperlink ref="M20" r:id="rId15" display="https://cementdistribution.com/wp-content/uploads/2016/10/us_import_overview.pdf"/>
    <hyperlink ref="G23" r:id="rId16" display="https://lmkchemical.com/"/>
    <hyperlink ref="M24" r:id="rId17" display="https://downloads.regulations.gov/EPA-HQ-OAR-2011-0542-0010/content.pdf"/>
    <hyperlink ref="M25" r:id="rId18" display="https://www.cfr.org/articles/do-gasoline-based-cars-really-use-more-electricity-electric-vehicles-do"/>
    <hyperlink ref="G28" r:id="rId19" display="https://www.energy-xprt.com/services/oxbow-calcining-services-378614"/>
    <hyperlink ref="M28" r:id="rId20" display="https://oregrindermill.com/blogs/energy-consumption-comparison-how-much-power-do-different-types-of-grinding-mills-use/"/>
    <hyperlink ref="M31" r:id="rId21" display="https://www.google.com/url?sa=i&amp;source=web&amp;rct=j&amp;url=https://www.americanchemistry.com/content/download/11831/file/Cradle-to-Gate-Life-Cycle-Analysis-of-Methylene-Diphenyl-Diisocyanate-Resin-Precursor.pdf&amp;ved=2ahUKEwjX866s94eVAxWh1fACHTC2AQwQ0YISegYIAAgUEAI&amp;opi=89978449&amp;cd&amp;psig=AOvVaw2fnV_3XBXytH4aTO9znOaF&amp;ust=1781567792120000"/>
    <hyperlink ref="M32" r:id="rId22" display="https://theicct.org/sites/default/files/publications/ICCT_RefrigerantsImpacts_20130909.pdf"/>
    <hyperlink ref="G34" r:id="rId23" display="https://southernionics.com/wp-content/uploads/2023/10/Southern-Ionics_ISO_9001_Multi-Site_Certificate.pdf"/>
    <hyperlink ref="M35" r:id="rId24" display="https://www.google.com/url?sa=i&amp;source=web&amp;rct=j&amp;url=https://cenia.gov.cz/wp-content/uploads/2022/04/EPD_Liberty_Roury_Svarovane_EN.pdf&amp;ved=2ahUKEwj32PLUkY2VAxVcjYkEHZ0bF_kQy_kOegYIAAgEEAE&amp;opi=89978449&amp;cd&amp;psig=AOvVaw2Mas7R6dY7FSMLgsqIPL5l&amp;ust=1781746655117000"/>
    <hyperlink ref="M36" r:id="rId25" display="https://www.researchgate.net/publication/348339898_Vanillin_Production_from_Lignin_-_Process_Modeling_and_Techno-Economic_Assessment_TEA_using_SuperPro_Designer"/>
    <hyperlink ref="G37" r:id="rId26" display="https://www.theadvocate.com/baton_rouge/news/baton-rouges-fees-go-up-every-year-to-fix-sewers-after-20-years-1-6/article_835ea306-7fbb-11ec-a718-af5621731c42.html"/>
    <hyperlink ref="G39" r:id="rId27" display="https://oilandgaswatch.org/facility/rec_culum0i32d0ktpi4gdh0"/>
    <hyperlink ref="G40" r:id="rId28" display="https://www.theadvocate.com/baton_rouge/news/coronavirus/running-low-on-toilet-paper-georgia-pacific-plant-near-zachary-maxing-out-at-120-capacity/article_ad2f9b1c-6ddf-11ea-8c2e-273baea65d45.html"/>
    <hyperlink ref="M41" r:id="rId29" display="https://www.theadvocate.com/baton_rouge/news/business/galvanizing-plant-in-zachary-shuts-down-files-for-bankruptcy-protection/article_398afdee-2bbc-11e8-a3ff-7bca09860d89.htm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1654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2026-06-07T23:47:36Z</dcterms:created>
  <dc:creator>openpyxl</dc:creator>
  <dc:description/>
  <dc:language>en-US</dc:language>
  <cp:lastModifiedBy/>
  <dcterms:modified xsi:type="dcterms:W3CDTF">2026-07-31T00:42:32Z</dcterms:modified>
  <cp:revision>164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