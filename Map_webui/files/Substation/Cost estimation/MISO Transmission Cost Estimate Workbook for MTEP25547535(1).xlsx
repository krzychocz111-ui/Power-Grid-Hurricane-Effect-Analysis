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Cost Guide Tables" sheetId="2" state="visible" r:id="rId4"/>
    <sheet name="Exploratory cost estimate" sheetId="3" state="visible" r:id="rId5"/>
    <sheet name="Line Exploratory example" sheetId="4" state="visible" r:id="rId6"/>
    <sheet name="Substation Explor. example " sheetId="5" state="visible" r:id="rId7"/>
    <sheet name="Exploratory cost data" sheetId="6" state="hidden" r:id="rId8"/>
    <sheet name="Costs over time estimate" sheetId="7" state="visible" r:id="rId9"/>
    <sheet name="Cost over time data" sheetId="8" state="visible" r:id="rId10"/>
  </sheets>
  <definedNames>
    <definedName function="false" hidden="false" localSheetId="1" name="_xlnm.Print_Area" vbProcedure="false">'Cost Guide Tables'!$A$4:$K$677</definedName>
    <definedName function="false" hidden="false" localSheetId="1" name="_xlnm.Print_Titles" vbProcedure="false">'Cost Guide Tables'!$1:$3</definedName>
    <definedName function="false" hidden="false" localSheetId="1" name="_Hlk155609209" vbProcedure="false">'Cost Guide Tables'!$B$25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<sst xmlns="http://schemas.openxmlformats.org/spreadsheetml/2006/main" count="2649" uniqueCount="754">
  <si>
    <t xml:space="preserve">Overview of tabs in excel file</t>
  </si>
  <si>
    <r>
      <rPr>
        <u val="single"/>
        <sz val="11"/>
        <color rgb="FF000000"/>
        <rFont val="Arial"/>
        <family val="2"/>
      </rPr>
      <t xml:space="preserve">Cost Guide Tables</t>
    </r>
    <r>
      <rPr>
        <sz val="11"/>
        <color rgb="FF000000"/>
        <rFont val="Arial"/>
        <family val="2"/>
      </rPr>
      <t xml:space="preserve">: The tables that are referenced in the Transmission Cost Estimation Guide.</t>
    </r>
  </si>
  <si>
    <r>
      <rPr>
        <u val="single"/>
        <sz val="11"/>
        <color rgb="FF000000"/>
        <rFont val="Arial"/>
        <family val="2"/>
      </rPr>
      <t xml:space="preserve">Exploratory cost estimate tab</t>
    </r>
    <r>
      <rPr>
        <sz val="11"/>
        <color rgb="FF000000"/>
        <rFont val="Arial"/>
        <family val="2"/>
      </rPr>
      <t xml:space="preserve">: User enters in all the scopes of work for the potential project.</t>
    </r>
  </si>
  <si>
    <r>
      <rPr>
        <u val="single"/>
        <sz val="11"/>
        <color rgb="FF000000"/>
        <rFont val="Arial"/>
        <family val="2"/>
      </rPr>
      <t xml:space="preserve">Line and substation exploratory example tabs</t>
    </r>
    <r>
      <rPr>
        <sz val="11"/>
        <color rgb="FF000000"/>
        <rFont val="Arial"/>
        <family val="2"/>
      </rPr>
      <t xml:space="preserve">: Provides details of example line and substation calculations.</t>
    </r>
  </si>
  <si>
    <r>
      <rPr>
        <u val="single"/>
        <sz val="11"/>
        <color rgb="FF000000"/>
        <rFont val="Arial"/>
        <family val="2"/>
      </rPr>
      <t xml:space="preserve">Costs over time estimate tab</t>
    </r>
    <r>
      <rPr>
        <sz val="11"/>
        <color rgb="FF000000"/>
        <rFont val="Arial"/>
        <family val="2"/>
      </rPr>
      <t xml:space="preserve">: Estimated life-cycle costs for the first 20 years of project in-service are calcuated.</t>
    </r>
  </si>
  <si>
    <r>
      <rPr>
        <u val="single"/>
        <sz val="11"/>
        <color rgb="FF000000"/>
        <rFont val="Arial"/>
        <family val="2"/>
      </rPr>
      <t xml:space="preserve">Convert to Nominal tab</t>
    </r>
    <r>
      <rPr>
        <sz val="11"/>
        <color rgb="FF000000"/>
        <rFont val="Arial"/>
        <family val="2"/>
      </rPr>
      <t xml:space="preserve">: Convert current year cost to "nominal" cost to construct using both an inflation faor and an estimated cash flow by year.</t>
    </r>
  </si>
  <si>
    <t xml:space="preserve">MISO Cost Estimation Guide for MTEP25</t>
  </si>
  <si>
    <r>
      <rPr>
        <sz val="11"/>
        <rFont val="Arial"/>
        <family val="2"/>
      </rPr>
      <t xml:space="preserve">For more information and background on MISO's cost estimation approach, see MISO's Cost Estimation Guide for MTEP25 posted on MISO's website: </t>
    </r>
    <r>
      <rPr>
        <u val="single"/>
        <sz val="11"/>
        <rFont val="Arial"/>
        <family val="2"/>
      </rPr>
      <t xml:space="preserve">http://www.misoenergy.org/planning/transmissionplanning</t>
    </r>
  </si>
  <si>
    <t xml:space="preserve">Disclaimer</t>
  </si>
  <si>
    <t xml:space="preserve">This document is prepared for informational purposes only to support MISO planning staff in developing cost estimates and deriving benefit-to-cost ratios for solutions proposed for inclusion in the MISO Transmission Expansion Plan (MTEP). MISO’s cost estimation approach is based on staff experience, vendor consultation, industry practice, and stakeholder feedback. MISO makes every effort to develop its cost estimates from the most accurate and appropriate assumptions and information available at that time. However, MISO cannot and does not guarantee the accuracy of information, assumptions, judgments, or opinions contained herein or derived therefrom. MISO may revise or terminate this document at any time at its discretion without notice. MISO’s cost estimation assumptions are not an indication or a direction for how any particular project shall be designed or built.</t>
  </si>
  <si>
    <t xml:space="preserve"> </t>
  </si>
  <si>
    <t xml:space="preserve">MISO Transmission Cost Estimation Guide - Supplemental Tables</t>
  </si>
  <si>
    <t xml:space="preserve">For MTEP25</t>
  </si>
  <si>
    <t xml:space="preserve">Table 2.1: Land Cost per acre</t>
  </si>
  <si>
    <t xml:space="preserve">State</t>
  </si>
  <si>
    <t xml:space="preserve">Pasture </t>
  </si>
  <si>
    <t xml:space="preserve">Crop</t>
  </si>
  <si>
    <t xml:space="preserve">Urban/
Suburban</t>
  </si>
  <si>
    <t xml:space="preserve">Acquisition</t>
  </si>
  <si>
    <t xml:space="preserve">Regulatory &amp; permitting</t>
  </si>
  <si>
    <t xml:space="preserve">Arkansas</t>
  </si>
  <si>
    <t xml:space="preserve">Illinois</t>
  </si>
  <si>
    <t xml:space="preserve">Indiana</t>
  </si>
  <si>
    <t xml:space="preserve">Iowa</t>
  </si>
  <si>
    <t xml:space="preserve">Kentucky</t>
  </si>
  <si>
    <t xml:space="preserve">Louisiana</t>
  </si>
  <si>
    <t xml:space="preserve">Michigan</t>
  </si>
  <si>
    <t xml:space="preserve">Minnesota</t>
  </si>
  <si>
    <t xml:space="preserve">Mississippi</t>
  </si>
  <si>
    <t xml:space="preserve">Missouri</t>
  </si>
  <si>
    <t xml:space="preserve">Montana</t>
  </si>
  <si>
    <t xml:space="preserve">North Dakota</t>
  </si>
  <si>
    <t xml:space="preserve">South Dakota</t>
  </si>
  <si>
    <t xml:space="preserve">Texas</t>
  </si>
  <si>
    <t xml:space="preserve">Wisconsin</t>
  </si>
  <si>
    <t xml:space="preserve">Table 2.2-1: AC transmission - steel pole - single circuit</t>
  </si>
  <si>
    <t xml:space="preserve">Voltage class</t>
  </si>
  <si>
    <t xml:space="preserve">69 kV</t>
  </si>
  <si>
    <t xml:space="preserve">115 kV</t>
  </si>
  <si>
    <t xml:space="preserve">138 kV</t>
  </si>
  <si>
    <t xml:space="preserve">161 kV</t>
  </si>
  <si>
    <t xml:space="preserve">230 kV</t>
  </si>
  <si>
    <t xml:space="preserve">345 kV</t>
  </si>
  <si>
    <t xml:space="preserve">500 kV</t>
  </si>
  <si>
    <t xml:space="preserve">765 kV</t>
  </si>
  <si>
    <t xml:space="preserve">Tangent structure</t>
  </si>
  <si>
    <t xml:space="preserve">Steel weight (lbs.)</t>
  </si>
  <si>
    <t xml:space="preserve">Foundation size (Cu. Yd)</t>
  </si>
  <si>
    <t xml:space="preserve">Material</t>
  </si>
  <si>
    <t xml:space="preserve">Installation</t>
  </si>
  <si>
    <t xml:space="preserve">Hardware</t>
  </si>
  <si>
    <t xml:space="preserve">Foundation</t>
  </si>
  <si>
    <t xml:space="preserve">Running angle structure</t>
  </si>
  <si>
    <t xml:space="preserve">Non-angled deadend structure</t>
  </si>
  <si>
    <t xml:space="preserve">Angled deadend structure</t>
  </si>
  <si>
    <t xml:space="preserve">Table 2.2-2: AC transmission – steel tower – single circuit</t>
  </si>
  <si>
    <t xml:space="preserve">Running angle structures</t>
  </si>
  <si>
    <t xml:space="preserve">Table 2.2-3: AC transmission – steel pole – double circuit</t>
  </si>
  <si>
    <t xml:space="preserve">Table 2.2-4: AC transmission – steel tower – double circuit</t>
  </si>
  <si>
    <t xml:space="preserve">Table 2.2-5: AC transmission – wood pole – single circuit</t>
  </si>
  <si>
    <t xml:space="preserve">Table 2.2-6: AC transmission – wood pole – double circuit</t>
  </si>
  <si>
    <t xml:space="preserve">Table 2.2-7: HVDC transmission – steel pole – single circuit</t>
  </si>
  <si>
    <t xml:space="preserve">± 250 kV</t>
  </si>
  <si>
    <t xml:space="preserve">± 400 kV</t>
  </si>
  <si>
    <t xml:space="preserve">± 500 kV</t>
  </si>
  <si>
    <t xml:space="preserve">± 600 kV</t>
  </si>
  <si>
    <t xml:space="preserve">± 640 kV</t>
  </si>
  <si>
    <t xml:space="preserve">Table 2.2-8: HVDC transmission – steel tower – single circuit</t>
  </si>
  <si>
    <t xml:space="preserve">Table 2.2-9: Additional structure installation costs per acre</t>
  </si>
  <si>
    <t xml:space="preserve">69 kV – 765 kV</t>
  </si>
  <si>
    <t xml:space="preserve">Forested clearing cost</t>
  </si>
  <si>
    <t xml:space="preserve">Wetland matting and construction difficulties</t>
  </si>
  <si>
    <t xml:space="preserve">Wetland mitigation credits</t>
  </si>
  <si>
    <t xml:space="preserve">Mountainous terrain</t>
  </si>
  <si>
    <t xml:space="preserve">Table 2.2-10: Transmission line removal/retirement ($/mile)</t>
  </si>
  <si>
    <t xml:space="preserve">Single circuit</t>
  </si>
  <si>
    <t xml:space="preserve">N/A</t>
  </si>
  <si>
    <t xml:space="preserve">Double circuit</t>
  </si>
  <si>
    <t xml:space="preserve">Table 2.2-11: Conductor costs (&lt;1,000 kcmil) (per 1,000 feet)</t>
  </si>
  <si>
    <t xml:space="preserve">Conductor</t>
  </si>
  <si>
    <t xml:space="preserve">Material cost</t>
  </si>
  <si>
    <t xml:space="preserve">Installation cost</t>
  </si>
  <si>
    <t xml:space="preserve">Accessories cost</t>
  </si>
  <si>
    <t xml:space="preserve">ACSR</t>
  </si>
  <si>
    <t xml:space="preserve">ACSS</t>
  </si>
  <si>
    <t xml:space="preserve">266.8 kcmil “Waxwing” </t>
  </si>
  <si>
    <t xml:space="preserve">266.8 kcmil “Partridge”</t>
  </si>
  <si>
    <t xml:space="preserve">336.4 kcmil “Merlin”</t>
  </si>
  <si>
    <t xml:space="preserve">336.4 kcmil “Linnet”</t>
  </si>
  <si>
    <t xml:space="preserve">336.4 kcmil “Oriole”</t>
  </si>
  <si>
    <t xml:space="preserve">397.5 kcmil “Chickadee”</t>
  </si>
  <si>
    <t xml:space="preserve">397.5 kcmil “Ibis”</t>
  </si>
  <si>
    <t xml:space="preserve">397.5 kcmil “Lark”</t>
  </si>
  <si>
    <t xml:space="preserve">477 kcmil “Pelican”</t>
  </si>
  <si>
    <t xml:space="preserve">477 kcmil “Flicker”</t>
  </si>
  <si>
    <t xml:space="preserve">477 kcmil “Hawk”</t>
  </si>
  <si>
    <t xml:space="preserve">477 kcmil “Hen”</t>
  </si>
  <si>
    <t xml:space="preserve">556.5 kcmil “Osprey”</t>
  </si>
  <si>
    <t xml:space="preserve">556.5 kcmil “Parakeet”</t>
  </si>
  <si>
    <t xml:space="preserve">556.5 kcmil “Dove”</t>
  </si>
  <si>
    <t xml:space="preserve">636 kcmil “Kingbird”</t>
  </si>
  <si>
    <t xml:space="preserve">636 kcmil “Rook”</t>
  </si>
  <si>
    <t xml:space="preserve">636 kcmil “Grosbeak”</t>
  </si>
  <si>
    <t xml:space="preserve">666.6 kcmil “Flamingo”</t>
  </si>
  <si>
    <t xml:space="preserve">795 kcmil “Coot”</t>
  </si>
  <si>
    <t xml:space="preserve">795 kcmil “Tern”</t>
  </si>
  <si>
    <t xml:space="preserve">795 kcmil “Cuckoo”</t>
  </si>
  <si>
    <t xml:space="preserve">795 kcmil “Condor”</t>
  </si>
  <si>
    <t xml:space="preserve">795 kcmil “Drake”</t>
  </si>
  <si>
    <t xml:space="preserve">900 kcmil “Canary”</t>
  </si>
  <si>
    <t xml:space="preserve">954 kcmil “Rail”</t>
  </si>
  <si>
    <t xml:space="preserve">954 kcmil “Cardinal”</t>
  </si>
  <si>
    <t xml:space="preserve">2.2-12: Conductor costs (&gt;1,000 kcmil) (per 1,000 feet)</t>
  </si>
  <si>
    <t xml:space="preserve">1,033.5 kcmil “Ortolan”</t>
  </si>
  <si>
    <t xml:space="preserve">1,033.5 kcmil “Curlew”</t>
  </si>
  <si>
    <t xml:space="preserve">1,113 kcmil “Bluejay”</t>
  </si>
  <si>
    <t xml:space="preserve">1,192.5 kcmil “Bunting”</t>
  </si>
  <si>
    <t xml:space="preserve">1,272 kcmil “Bittern”</t>
  </si>
  <si>
    <t xml:space="preserve">1,272 kcmil “Pheasant”</t>
  </si>
  <si>
    <t xml:space="preserve">1,351.5 kcmil “Dipper”</t>
  </si>
  <si>
    <t xml:space="preserve">1,351.5 kcmil “Martin”</t>
  </si>
  <si>
    <t xml:space="preserve">1,431 kcmil “Bobolink”</t>
  </si>
  <si>
    <t xml:space="preserve">1,590 kcmil “Lapwing”</t>
  </si>
  <si>
    <t xml:space="preserve">1,590 kcmil “Falcon”</t>
  </si>
  <si>
    <t xml:space="preserve">1,780 kcmil “Chukar”</t>
  </si>
  <si>
    <t xml:space="preserve">2,156 kcmil “Bluebird”</t>
  </si>
  <si>
    <t xml:space="preserve">2,167 kcmil “Kiwi”</t>
  </si>
  <si>
    <t xml:space="preserve">2,312 kcmil “Thrasher”</t>
  </si>
  <si>
    <t xml:space="preserve">2,515 kcmil “Joree”</t>
  </si>
  <si>
    <t xml:space="preserve">Table 2.2-13: ACCC conductor costs and round wire comparisons (per 1,000 feet)</t>
  </si>
  <si>
    <t xml:space="preserve">ACCC conductor size</t>
  </si>
  <si>
    <t xml:space="preserve">Comparable  ACSR/ACSS round wire conductor</t>
  </si>
  <si>
    <t xml:space="preserve">Maximum amperage</t>
  </si>
  <si>
    <t xml:space="preserve">821 kcmil</t>
  </si>
  <si>
    <t xml:space="preserve">1,026 kcmil</t>
  </si>
  <si>
    <t xml:space="preserve">1,011 kcmil</t>
  </si>
  <si>
    <t xml:space="preserve">1,222 kcmil</t>
  </si>
  <si>
    <t xml:space="preserve">1,300 kcmil</t>
  </si>
  <si>
    <t xml:space="preserve">1,582 kcmil</t>
  </si>
  <si>
    <t xml:space="preserve">2,242 kcmil</t>
  </si>
  <si>
    <t xml:space="preserve">2,741 kcmil</t>
  </si>
  <si>
    <t xml:space="preserve">Table 2.2-14: OPGW and shieldwire costs (per 1,000 feet)</t>
  </si>
  <si>
    <t xml:space="preserve">Wire type</t>
  </si>
  <si>
    <t xml:space="preserve">Shieldwire</t>
  </si>
  <si>
    <t xml:space="preserve">OPGW</t>
  </si>
  <si>
    <t xml:space="preserve">Table 2.3-1: Site work unit costs (per acre)</t>
  </si>
  <si>
    <t xml:space="preserve">Level ground with light vegetation</t>
  </si>
  <si>
    <t xml:space="preserve">Forested land</t>
  </si>
  <si>
    <t xml:space="preserve">Table 2.3-2: Circuit breaker unit costs</t>
  </si>
  <si>
    <t xml:space="preserve">Jumpers, conduit, wiring, grounding</t>
  </si>
  <si>
    <t xml:space="preserve">Foundation cost</t>
  </si>
  <si>
    <t xml:space="preserve">Table 2.3-3: Disconnect switch (3-phase) unit costs</t>
  </si>
  <si>
    <t xml:space="preserve">Steel stand weight (pounds)</t>
  </si>
  <si>
    <t xml:space="preserve">Jumpers, and grounding</t>
  </si>
  <si>
    <t xml:space="preserve">Steel stand material cost</t>
  </si>
  <si>
    <t xml:space="preserve">Steel stand installation cost</t>
  </si>
  <si>
    <t xml:space="preserve">Table 2.3-4: Bus support, bus, and fittings (3-phase) unit costs</t>
  </si>
  <si>
    <t xml:space="preserve">Table 2.3-5: Voltage transformer (set of 3) unit costs</t>
  </si>
  <si>
    <t xml:space="preserve">Table 2.3-6: Current transformer (set of 3) unit costs</t>
  </si>
  <si>
    <t xml:space="preserve">Table 2.3-7: Power transformer ($/MVA) </t>
  </si>
  <si>
    <t xml:space="preserve">Table 2.3-8: Grid supporting devices unit costs</t>
  </si>
  <si>
    <t xml:space="preserve">Shunt reactor ($/MVAr)</t>
  </si>
  <si>
    <t xml:space="preserve">Shunt capacitor bank ($/MVAr)</t>
  </si>
  <si>
    <t xml:space="preserve">Static VAr Compensator ($/MVAr)</t>
  </si>
  <si>
    <t xml:space="preserve">STATCOM ($/MVAr)</t>
  </si>
  <si>
    <t xml:space="preserve">Synchronous condenser ($/MVAr)</t>
  </si>
  <si>
    <t xml:space="preserve">$179,500/MVAr + $179,500/MW ($169.5/kw) (step-up to 69 kV)</t>
  </si>
  <si>
    <t xml:space="preserve">Energy storage (lithium ion)</t>
  </si>
  <si>
    <t xml:space="preserve">Battery system: $250,000/MWh ($250/kwh) + Inverter: $75,800/MW ($75.8/kw) + $179,500/MW ($179.5/kw) (step-up to 69 kV)</t>
  </si>
  <si>
    <t xml:space="preserve">APFC (Advanced Power Flow Control) / SSSC (Static Series Synchronous Condensers)</t>
  </si>
  <si>
    <t xml:space="preserve">$169,350/MVAr</t>
  </si>
  <si>
    <t xml:space="preserve">Table 2.3-9: Control enclosure unit costs</t>
  </si>
  <si>
    <t xml:space="preserve">Material and installation cost</t>
  </si>
  <si>
    <t xml:space="preserve">Battery and battery charger</t>
  </si>
  <si>
    <t xml:space="preserve">Communication equipment</t>
  </si>
  <si>
    <t xml:space="preserve">Station service power</t>
  </si>
  <si>
    <t xml:space="preserve">Table 2.3-10: Relay panel unit costs</t>
  </si>
  <si>
    <t xml:space="preserve">Table 2.3-11: Control cable unit costs (per 1,000 feet)</t>
  </si>
  <si>
    <t xml:space="preserve">Table 2.3-12: Conduit unit costs (per 1,000 feet)</t>
  </si>
  <si>
    <t xml:space="preserve">Table 2.3-13: Cable trench unit costs (per foot)</t>
  </si>
  <si>
    <t xml:space="preserve">Material cost per foot</t>
  </si>
  <si>
    <t xml:space="preserve">Installation cost per foot</t>
  </si>
  <si>
    <t xml:space="preserve">Table 2.4-1: Converter station line commutated converter (LCC) – one end</t>
  </si>
  <si>
    <t xml:space="preserve">Power Transfer</t>
  </si>
  <si>
    <t xml:space="preserve">500 MW</t>
  </si>
  <si>
    <t xml:space="preserve">1,500 MW</t>
  </si>
  <si>
    <t xml:space="preserve">2,000 MW</t>
  </si>
  <si>
    <t xml:space="preserve">2,400 MW</t>
  </si>
  <si>
    <t xml:space="preserve">3,000 MW</t>
  </si>
  <si>
    <t xml:space="preserve">Assumed Reactive Power Need</t>
  </si>
  <si>
    <t xml:space="preserve">167 MVAR</t>
  </si>
  <si>
    <t xml:space="preserve">500 MVAR</t>
  </si>
  <si>
    <t xml:space="preserve">667 MVAR</t>
  </si>
  <si>
    <t xml:space="preserve">800 MVAR</t>
  </si>
  <si>
    <t xml:space="preserve">1,000 MVAR</t>
  </si>
  <si>
    <t xml:space="preserve">Ground electrode line length</t>
  </si>
  <si>
    <t xml:space="preserve">20 miles</t>
  </si>
  <si>
    <t xml:space="preserve">Valve hall</t>
  </si>
  <si>
    <t xml:space="preserve">AC filters</t>
  </si>
  <si>
    <t xml:space="preserve">Reactive power</t>
  </si>
  <si>
    <t xml:space="preserve">AC Substation</t>
  </si>
  <si>
    <t xml:space="preserve">Ground electrode</t>
  </si>
  <si>
    <t xml:space="preserve">Ground electrode line</t>
  </si>
  <si>
    <t xml:space="preserve">Table 2.4-2: Converter station voltage source converter (VSC) – one end</t>
  </si>
  <si>
    <t xml:space="preserve">Table 3.1-1: Right-of-way width</t>
  </si>
  <si>
    <t xml:space="preserve">AC Transmission (single and double circuit)</t>
  </si>
  <si>
    <t xml:space="preserve">Feet</t>
  </si>
  <si>
    <t xml:space="preserve">HVDC transmission (single circuit)</t>
  </si>
  <si>
    <t xml:space="preserve">Table 3.1-2: Structures per mile – AC transmission - steel tower and steel pole (single circuit/double circuit) </t>
  </si>
  <si>
    <t xml:space="preserve">Tangent structures</t>
  </si>
  <si>
    <t xml:space="preserve">9/9.5</t>
  </si>
  <si>
    <t xml:space="preserve">8.5/9</t>
  </si>
  <si>
    <t xml:space="preserve">8/8.5</t>
  </si>
  <si>
    <t xml:space="preserve">7/7.5</t>
  </si>
  <si>
    <t xml:space="preserve">4.5/6</t>
  </si>
  <si>
    <t xml:space="preserve">3.0/N/A</t>
  </si>
  <si>
    <t xml:space="preserve">3.5/N/A</t>
  </si>
  <si>
    <t xml:space="preserve">1/N/A</t>
  </si>
  <si>
    <t xml:space="preserve">0.25/N/A</t>
  </si>
  <si>
    <t xml:space="preserve">Non-angled deadend structures</t>
  </si>
  <si>
    <t xml:space="preserve">0.25/0.25</t>
  </si>
  <si>
    <t xml:space="preserve">0.125/N/A</t>
  </si>
  <si>
    <t xml:space="preserve">Angled deadend structures</t>
  </si>
  <si>
    <t xml:space="preserve">Table 3.1-3: Structures per mile – AC transmission - wood pole (single circuit/double circuit)</t>
  </si>
  <si>
    <t xml:space="preserve">15.5/18.5</t>
  </si>
  <si>
    <t xml:space="preserve">13.5/16.5</t>
  </si>
  <si>
    <t xml:space="preserve">13.5/N/A</t>
  </si>
  <si>
    <t xml:space="preserve">10.5/N/A</t>
  </si>
  <si>
    <t xml:space="preserve">7.5/N/A</t>
  </si>
  <si>
    <t xml:space="preserve">0.5/0.5</t>
  </si>
  <si>
    <t xml:space="preserve">0.5/N/A</t>
  </si>
  <si>
    <t xml:space="preserve">Table 3.1-4: Structures per mile – HVDC transmission - steel tower and steel pole (single circuit)</t>
  </si>
  <si>
    <t xml:space="preserve">Non-angled structures</t>
  </si>
  <si>
    <t xml:space="preserve">Angled structures</t>
  </si>
  <si>
    <t xml:space="preserve">Table 3.1-5: Conductor selection per circuit – AC Transmission</t>
  </si>
  <si>
    <t xml:space="preserve">Conductor size</t>
  </si>
  <si>
    <t xml:space="preserve">477 kcmil</t>
  </si>
  <si>
    <t xml:space="preserve">795 kcmil</t>
  </si>
  <si>
    <t xml:space="preserve">954 kcmil</t>
  </si>
  <si>
    <t xml:space="preserve">Conductor type</t>
  </si>
  <si>
    <t xml:space="preserve">Conductor quantity</t>
  </si>
  <si>
    <t xml:space="preserve">Amp rating</t>
  </si>
  <si>
    <t xml:space="preserve">Power rating (MVA)</t>
  </si>
  <si>
    <t xml:space="preserve">Table 3.1-6: Conductor selection per circuit – HVDC Transmission</t>
  </si>
  <si>
    <t xml:space="preserve">1,590 kcmil</t>
  </si>
  <si>
    <t xml:space="preserve">Conductor quantity per pole</t>
  </si>
  <si>
    <t xml:space="preserve">Power transfer</t>
  </si>
  <si>
    <t xml:space="preserve">6,000 MW</t>
  </si>
  <si>
    <t xml:space="preserve">Table 3.1-7: Land and terrain type per state</t>
  </si>
  <si>
    <t xml:space="preserve">Land type </t>
  </si>
  <si>
    <t xml:space="preserve">Terrain type </t>
  </si>
  <si>
    <t xml:space="preserve">(pasture, crop, and suburban/urban land </t>
  </si>
  <si>
    <t xml:space="preserve">(level ground, forested, and wetland terrain sum to 100% per state)</t>
  </si>
  <si>
    <t xml:space="preserve">sum to 100% per state)</t>
  </si>
  <si>
    <t xml:space="preserve">Pasture- land</t>
  </si>
  <si>
    <t xml:space="preserve">Cropland</t>
  </si>
  <si>
    <t xml:space="preserve">Suburban/ Urban</t>
  </si>
  <si>
    <t xml:space="preserve">Level ground </t>
  </si>
  <si>
    <t xml:space="preserve">Forested</t>
  </si>
  <si>
    <t xml:space="preserve">Wetland</t>
  </si>
  <si>
    <t xml:space="preserve">Table 3.2-1: Initial assumptions – bus ratings</t>
  </si>
  <si>
    <t xml:space="preserve">Table 3.2-2: Substation upgrade – add 1 position - (ring/breaker-and-a-half/double-breaker bus)</t>
  </si>
  <si>
    <t xml:space="preserve">Scope of work </t>
  </si>
  <si>
    <t xml:space="preserve">Land required (acre)</t>
  </si>
  <si>
    <t xml:space="preserve">0.8/1.0/1.2</t>
  </si>
  <si>
    <t xml:space="preserve">0.5/0.6/0.7</t>
  </si>
  <si>
    <t xml:space="preserve">0.5/0.6/0.8</t>
  </si>
  <si>
    <t xml:space="preserve">0.6/0.7/0.8</t>
  </si>
  <si>
    <t xml:space="preserve">0.6/0.8/0.9</t>
  </si>
  <si>
    <t xml:space="preserve">0.8/0.9/1.1</t>
  </si>
  <si>
    <t xml:space="preserve">1.3/1.6/1.9</t>
  </si>
  <si>
    <t xml:space="preserve">1.6/2.0/2.3</t>
  </si>
  <si>
    <t xml:space="preserve">Access road (mile)</t>
  </si>
  <si>
    <t xml:space="preserve">0/0/0</t>
  </si>
  <si>
    <t xml:space="preserve">Circuit breakers (each)</t>
  </si>
  <si>
    <t xml:space="preserve">1/2/2</t>
  </si>
  <si>
    <t xml:space="preserve">Disconnect switches (each)</t>
  </si>
  <si>
    <t xml:space="preserve">2/4/4</t>
  </si>
  <si>
    <t xml:space="preserve">Voltage transformers </t>
  </si>
  <si>
    <t xml:space="preserve">1/1/1</t>
  </si>
  <si>
    <t xml:space="preserve">(set of 3)</t>
  </si>
  <si>
    <t xml:space="preserve">Bus support, bus, and fittings (3-phase)</t>
  </si>
  <si>
    <t xml:space="preserve">4/4/6</t>
  </si>
  <si>
    <t xml:space="preserve">6/6/8</t>
  </si>
  <si>
    <t xml:space="preserve">8/8/10</t>
  </si>
  <si>
    <t xml:space="preserve">12/12/14</t>
  </si>
  <si>
    <t xml:space="preserve">Deadend structure </t>
  </si>
  <si>
    <t xml:space="preserve">Control enclosure</t>
  </si>
  <si>
    <t xml:space="preserve">Relay panel(s)</t>
  </si>
  <si>
    <t xml:space="preserve">Cable trench (foot),</t>
  </si>
  <si>
    <t xml:space="preserve">50 /</t>
  </si>
  <si>
    <t xml:space="preserve">60 /</t>
  </si>
  <si>
    <t xml:space="preserve">70 /</t>
  </si>
  <si>
    <t xml:space="preserve">88 /</t>
  </si>
  <si>
    <t xml:space="preserve"> conduit (10 feet), </t>
  </si>
  <si>
    <t xml:space="preserve">80 /</t>
  </si>
  <si>
    <t xml:space="preserve">90 /</t>
  </si>
  <si>
    <t xml:space="preserve">110 /</t>
  </si>
  <si>
    <t xml:space="preserve">131 /</t>
  </si>
  <si>
    <t xml:space="preserve">control cable (100 feet)</t>
  </si>
  <si>
    <t xml:space="preserve">Table 3.2-3: Substation upgrade – add 2 positions - (ring/breaker-and-a-half/double-breaker bus)</t>
  </si>
  <si>
    <t xml:space="preserve">Scope of work</t>
  </si>
  <si>
    <t xml:space="preserve">0.9/1.1/1.4</t>
  </si>
  <si>
    <t xml:space="preserve">1.0/1.3/1.5</t>
  </si>
  <si>
    <t xml:space="preserve">1.1/1.4/1.7</t>
  </si>
  <si>
    <t xml:space="preserve">1.2/1.5/1.8</t>
  </si>
  <si>
    <t xml:space="preserve">1.5/1.9/2.3</t>
  </si>
  <si>
    <t xml:space="preserve">2.5/3.1/3.8</t>
  </si>
  <si>
    <t xml:space="preserve">3.1/3.9/4.7</t>
  </si>
  <si>
    <t xml:space="preserve">2/3/4</t>
  </si>
  <si>
    <t xml:space="preserve">4/6/8</t>
  </si>
  <si>
    <t xml:space="preserve">Voltage transformers</t>
  </si>
  <si>
    <t xml:space="preserve">2/2/2</t>
  </si>
  <si>
    <t xml:space="preserve">8/8/12</t>
  </si>
  <si>
    <t xml:space="preserve">12/12/16</t>
  </si>
  <si>
    <t xml:space="preserve">16/16/20</t>
  </si>
  <si>
    <t xml:space="preserve">20/20/24</t>
  </si>
  <si>
    <t xml:space="preserve">Deadend structure</t>
  </si>
  <si>
    <t xml:space="preserve">95 /</t>
  </si>
  <si>
    <t xml:space="preserve">100 /</t>
  </si>
  <si>
    <t xml:space="preserve">105 /</t>
  </si>
  <si>
    <t xml:space="preserve">120 /</t>
  </si>
  <si>
    <t xml:space="preserve">140 /</t>
  </si>
  <si>
    <t xml:space="preserve">175 /</t>
  </si>
  <si>
    <t xml:space="preserve">conduit (10 feet),</t>
  </si>
  <si>
    <t xml:space="preserve">135 /</t>
  </si>
  <si>
    <t xml:space="preserve">143 /</t>
  </si>
  <si>
    <t xml:space="preserve">150 /</t>
  </si>
  <si>
    <t xml:space="preserve">158 /</t>
  </si>
  <si>
    <t xml:space="preserve">165 /</t>
  </si>
  <si>
    <t xml:space="preserve">180 /</t>
  </si>
  <si>
    <t xml:space="preserve">210 /</t>
  </si>
  <si>
    <t xml:space="preserve">263 /</t>
  </si>
  <si>
    <t xml:space="preserve">Table 3.2-4: New substation – 4 positions - (ring/breaker-and-a-half/double-breaker bus)</t>
  </si>
  <si>
    <t xml:space="preserve">3.2/4.0/4.8</t>
  </si>
  <si>
    <t xml:space="preserve">3.6/4.6/5.4</t>
  </si>
  <si>
    <t xml:space="preserve">4.0/5.0/6.0</t>
  </si>
  <si>
    <t xml:space="preserve">4.4/5.6/6.6</t>
  </si>
  <si>
    <t xml:space="preserve">4.8/6.0/7.2</t>
  </si>
  <si>
    <t xml:space="preserve">6.0/7.6/9.0</t>
  </si>
  <si>
    <t xml:space="preserve">10.0/12.6/15.0</t>
  </si>
  <si>
    <t xml:space="preserve">12.4/15.6/18.8</t>
  </si>
  <si>
    <t xml:space="preserve">8/12/16</t>
  </si>
  <si>
    <t xml:space="preserve">4/6/6</t>
  </si>
  <si>
    <t xml:space="preserve">12/14/16</t>
  </si>
  <si>
    <t xml:space="preserve">14/16/20</t>
  </si>
  <si>
    <t xml:space="preserve">20/24/32</t>
  </si>
  <si>
    <t xml:space="preserve">28/32/48</t>
  </si>
  <si>
    <t xml:space="preserve">4/4/4</t>
  </si>
  <si>
    <t xml:space="preserve">6/8/10</t>
  </si>
  <si>
    <t xml:space="preserve">190 /</t>
  </si>
  <si>
    <t xml:space="preserve">200 /</t>
  </si>
  <si>
    <t xml:space="preserve">220 /</t>
  </si>
  <si>
    <t xml:space="preserve">240 /</t>
  </si>
  <si>
    <t xml:space="preserve">280 /</t>
  </si>
  <si>
    <t xml:space="preserve">350 /</t>
  </si>
  <si>
    <t xml:space="preserve">270 /</t>
  </si>
  <si>
    <t xml:space="preserve">290 /</t>
  </si>
  <si>
    <t xml:space="preserve">300 /</t>
  </si>
  <si>
    <t xml:space="preserve">320 /</t>
  </si>
  <si>
    <t xml:space="preserve">330 /</t>
  </si>
  <si>
    <t xml:space="preserve">360 /</t>
  </si>
  <si>
    <t xml:space="preserve">420 /</t>
  </si>
  <si>
    <t xml:space="preserve">525 /</t>
  </si>
  <si>
    <t xml:space="preserve">Table 3.2-5: New substation – 6 positions - (ring/breaker-and-a-half/double-breaker bus)</t>
  </si>
  <si>
    <t xml:space="preserve">4.6/5.6/6.8</t>
  </si>
  <si>
    <t xml:space="preserve">5.0/6.2/7.6</t>
  </si>
  <si>
    <t xml:space="preserve">5.6/6.8/8.2</t>
  </si>
  <si>
    <t xml:space="preserve">7.6/9.4/11.2</t>
  </si>
  <si>
    <t xml:space="preserve">12.6/15.6/18.8</t>
  </si>
  <si>
    <t xml:space="preserve">15.6/19.6/23.4</t>
  </si>
  <si>
    <t xml:space="preserve">Circuit breakers</t>
  </si>
  <si>
    <t xml:space="preserve">6/9/12</t>
  </si>
  <si>
    <t xml:space="preserve">12/18/24</t>
  </si>
  <si>
    <t xml:space="preserve">6/8/8</t>
  </si>
  <si>
    <t xml:space="preserve">16/20/24</t>
  </si>
  <si>
    <t xml:space="preserve">24/32/40</t>
  </si>
  <si>
    <t xml:space="preserve">32/48/60</t>
  </si>
  <si>
    <t xml:space="preserve">6/6/6</t>
  </si>
  <si>
    <t xml:space="preserve">8/11/14</t>
  </si>
  <si>
    <t xml:space="preserve">410 /</t>
  </si>
  <si>
    <t xml:space="preserve">430 /</t>
  </si>
  <si>
    <t xml:space="preserve">450 /</t>
  </si>
  <si>
    <t xml:space="preserve">470 /</t>
  </si>
  <si>
    <t xml:space="preserve">500 /</t>
  </si>
  <si>
    <t xml:space="preserve">540 /</t>
  </si>
  <si>
    <t xml:space="preserve">630 /</t>
  </si>
  <si>
    <t xml:space="preserve">788/</t>
  </si>
  <si>
    <t xml:space="preserve">Table 4.1-1: Exploratory cost estimate – AC transmission - new single circuit transmission line $/mile</t>
  </si>
  <si>
    <t xml:space="preserve">Location </t>
  </si>
  <si>
    <t xml:space="preserve">Includes contingency (30%) and AFUDC (7.5%)</t>
  </si>
  <si>
    <t xml:space="preserve">Table 4.1-2: Exploratory cost estimate – AC transmission - new double circuit transmission line $/mile</t>
  </si>
  <si>
    <t xml:space="preserve">Table 4.1-3: Exploratory cost estimate – AC transmission - rebuild and reconductor transmission line $/mile</t>
  </si>
  <si>
    <t xml:space="preserve">Scope of Work</t>
  </si>
  <si>
    <t xml:space="preserve">Rebuild – single circuit</t>
  </si>
  <si>
    <t xml:space="preserve">Rebuild – double circuit</t>
  </si>
  <si>
    <t xml:space="preserve">Reconductor – per circuit</t>
  </si>
  <si>
    <t xml:space="preserve">Table 4.1-4: Exploratory cost estimate – HVDC transmission - new bipole transmission line $/mile</t>
  </si>
  <si>
    <t xml:space="preserve">Location</t>
  </si>
  <si>
    <t xml:space="preserve">250 kV</t>
  </si>
  <si>
    <t xml:space="preserve">400 kV</t>
  </si>
  <si>
    <t xml:space="preserve">600 kV</t>
  </si>
  <si>
    <t xml:space="preserve">640 kV</t>
  </si>
  <si>
    <t xml:space="preserve">Table 4.2-1: Exploratory cost estimate – substation upgrade</t>
  </si>
  <si>
    <t xml:space="preserve">Add 1 position (ring bus)</t>
  </si>
  <si>
    <t xml:space="preserve">Add 1 position
(breaker-and-a-half bus)</t>
  </si>
  <si>
    <t xml:space="preserve">Add 1 position
(double-breaker bus)</t>
  </si>
  <si>
    <t xml:space="preserve">Add 2 positions(ring bus)</t>
  </si>
  <si>
    <t xml:space="preserve">Add 2 positions
(breaker-and-a-half bus)</t>
  </si>
  <si>
    <t xml:space="preserve">Add 2 positions
(double-breaker bus)</t>
  </si>
  <si>
    <t xml:space="preserve">Table 4.2-2: Exploratory cost estimate – new substation</t>
  </si>
  <si>
    <t xml:space="preserve">4 positions (ring bus)</t>
  </si>
  <si>
    <t xml:space="preserve">4 positions
(breaker-and-a-half bus)</t>
  </si>
  <si>
    <t xml:space="preserve">4 positions
(double-breaker bus)</t>
  </si>
  <si>
    <t xml:space="preserve">6 positions (ring bus)</t>
  </si>
  <si>
    <t xml:space="preserve">6 positions
(breaker-and-a-half bus)</t>
  </si>
  <si>
    <t xml:space="preserve">6 positions
(double-breaker bus)</t>
  </si>
  <si>
    <t xml:space="preserve">Table 4.3-1: Exploratory cost estimate – HVDC transmission converter Station (costs are or one of multiple required ends)</t>
  </si>
  <si>
    <t xml:space="preserve">Line Commutated Converter</t>
  </si>
  <si>
    <t xml:space="preserve">Voltage Source Converter</t>
  </si>
  <si>
    <t xml:space="preserve">MISO</t>
  </si>
  <si>
    <t xml:space="preserve">Cost Estimation Guide / Workbook for MTEP25</t>
  </si>
  <si>
    <r>
      <rPr>
        <b val="true"/>
        <sz val="12"/>
        <color theme="1"/>
        <rFont val="Calibri"/>
        <family val="2"/>
      </rPr>
      <t xml:space="preserve">Exploratory Cost Estimate </t>
    </r>
    <r>
      <rPr>
        <b val="true"/>
        <i val="true"/>
        <sz val="12"/>
        <color rgb="FF000000"/>
        <rFont val="Calibri"/>
        <family val="2"/>
      </rPr>
      <t xml:space="preserve">(2025 dollars)</t>
    </r>
  </si>
  <si>
    <t xml:space="preserve">This is not a Planning or Scoping level estimate</t>
  </si>
  <si>
    <t xml:space="preserve">XX/XX/2025</t>
  </si>
  <si>
    <t xml:space="preserve">Input cells-teal color</t>
  </si>
  <si>
    <t xml:space="preserve">Line</t>
  </si>
  <si>
    <t xml:space="preserve">Amounts include overhead, 30% contingency, 7.5% AFUDC</t>
  </si>
  <si>
    <t xml:space="preserve">State:  </t>
  </si>
  <si>
    <t xml:space="preserve">Enter via drop down list</t>
  </si>
  <si>
    <t xml:space="preserve">Line type:  </t>
  </si>
  <si>
    <t xml:space="preserve">A/C</t>
  </si>
  <si>
    <t xml:space="preserve">New / Rebuild / Reconductor:  </t>
  </si>
  <si>
    <t xml:space="preserve">New</t>
  </si>
  <si>
    <t xml:space="preserve">Circuit:  </t>
  </si>
  <si>
    <t xml:space="preserve">Single</t>
  </si>
  <si>
    <t xml:space="preserve">Voltage class:  </t>
  </si>
  <si>
    <t xml:space="preserve">Line length (miles):  </t>
  </si>
  <si>
    <t xml:space="preserve">Enter number of miles - recommend 30% adder to the straight line distance for exploratory estimate</t>
  </si>
  <si>
    <t xml:space="preserve">Total Capital Cost   </t>
  </si>
  <si>
    <t xml:space="preserve">MTEP25 Exploratory Line Total Capital Cost includes contingency (30%) and AFUDC (7.5%)</t>
  </si>
  <si>
    <t xml:space="preserve">Project Cost</t>
  </si>
  <si>
    <t xml:space="preserve">If Wisconsin, includes 5% environmental fee</t>
  </si>
  <si>
    <t xml:space="preserve">Contingency</t>
  </si>
  <si>
    <t xml:space="preserve">AFUDC</t>
  </si>
  <si>
    <t xml:space="preserve">Project Implementation Cost (2025$)</t>
  </si>
  <si>
    <t xml:space="preserve">Substation #1</t>
  </si>
  <si>
    <t xml:space="preserve">Facility:  </t>
  </si>
  <si>
    <t xml:space="preserve">New - 4 positions (ring bus)</t>
  </si>
  <si>
    <t xml:space="preserve">Substation #2</t>
  </si>
  <si>
    <t xml:space="preserve">Upgrade - Add one position (breaker-and-a-half bus)</t>
  </si>
  <si>
    <t xml:space="preserve">Add Transformer (breakers included)</t>
  </si>
  <si>
    <t xml:space="preserve">Primary voltage class:  </t>
  </si>
  <si>
    <t xml:space="preserve">Secondary voltage class:  </t>
  </si>
  <si>
    <t xml:space="preserve">Transformer MVA:  </t>
  </si>
  <si>
    <t xml:space="preserve">Enter MVA top rating (only type the number, the cell format will add the MVA)</t>
  </si>
  <si>
    <t xml:space="preserve">Grand Total</t>
  </si>
  <si>
    <t xml:space="preserve">Project Cost from above</t>
  </si>
  <si>
    <t xml:space="preserve">Market uncertainty cost adder %</t>
  </si>
  <si>
    <t xml:space="preserve"> Market uncertainty cost adder %</t>
  </si>
  <si>
    <t xml:space="preserve">Additional  Cost  not included above</t>
  </si>
  <si>
    <t xml:space="preserve">Project Cost Subtotal</t>
  </si>
  <si>
    <t xml:space="preserve">Line Type:  </t>
  </si>
  <si>
    <t xml:space="preserve">Voltage class: </t>
  </si>
  <si>
    <t xml:space="preserve">Facility type (Circuit):  </t>
  </si>
  <si>
    <t xml:space="preserve">Structure type:  </t>
  </si>
  <si>
    <t xml:space="preserve">Steel Pole</t>
  </si>
  <si>
    <t xml:space="preserve">Conductor:  </t>
  </si>
  <si>
    <t xml:space="preserve">795 "Drake"</t>
  </si>
  <si>
    <t xml:space="preserve">Conductor type:  </t>
  </si>
  <si>
    <t xml:space="preserve">Conductors per phase:  </t>
  </si>
  <si>
    <t xml:space="preserve">Shieldwire quantity:  </t>
  </si>
  <si>
    <t xml:space="preserve">OPGW quantity:  </t>
  </si>
  <si>
    <t xml:space="preserve">Right-of-Way, land acquisition, and regulatory and permitting</t>
  </si>
  <si>
    <t xml:space="preserve">ROW width in feet</t>
  </si>
  <si>
    <t xml:space="preserve">Allocation %</t>
  </si>
  <si>
    <t xml:space="preserve">Unit / Acres</t>
  </si>
  <si>
    <t xml:space="preserve">Unit Cost</t>
  </si>
  <si>
    <t xml:space="preserve">Pasture land</t>
  </si>
  <si>
    <t xml:space="preserve">Crop land</t>
  </si>
  <si>
    <t xml:space="preserve">Suburban/urban land</t>
  </si>
  <si>
    <t xml:space="preserve">Structure material</t>
  </si>
  <si>
    <t xml:space="preserve">Cost per Pound</t>
  </si>
  <si>
    <t xml:space="preserve">Structures</t>
  </si>
  <si>
    <t xml:space="preserve">Units per Mile</t>
  </si>
  <si>
    <t xml:space="preserve">Number of Structures</t>
  </si>
  <si>
    <t xml:space="preserve">Steel Weights (lbs.)</t>
  </si>
  <si>
    <t xml:space="preserve">Total Steel Pounds</t>
  </si>
  <si>
    <t xml:space="preserve">Tangent</t>
  </si>
  <si>
    <t xml:space="preserve">Running angle</t>
  </si>
  <si>
    <t xml:space="preserve">Non-angled deadend</t>
  </si>
  <si>
    <t xml:space="preserve">Angled deadend</t>
  </si>
  <si>
    <t xml:space="preserve">Structure foundation</t>
  </si>
  <si>
    <t xml:space="preserve">Cost per Cu. Yd.</t>
  </si>
  <si>
    <t xml:space="preserve">Number of Foundations</t>
  </si>
  <si>
    <t xml:space="preserve">Total Cubic Yards</t>
  </si>
  <si>
    <t xml:space="preserve">Structure Hardware / Insulators / Grounding - "Hardware" data</t>
  </si>
  <si>
    <t xml:space="preserve">Cost per Unit</t>
  </si>
  <si>
    <t xml:space="preserve">Total Structure and conductor accessories  </t>
  </si>
  <si>
    <t xml:space="preserve">Structure construction labor "Installation data"</t>
  </si>
  <si>
    <t xml:space="preserve">Unit of Measure</t>
  </si>
  <si>
    <t xml:space="preserve">Number of Units</t>
  </si>
  <si>
    <t xml:space="preserve">Each</t>
  </si>
  <si>
    <t xml:space="preserve">Right-of-way width in feet</t>
  </si>
  <si>
    <t xml:space="preserve">Percentage</t>
  </si>
  <si>
    <t xml:space="preserve">Project length</t>
  </si>
  <si>
    <t xml:space="preserve">Miles</t>
  </si>
  <si>
    <t xml:space="preserve">Forested clearing</t>
  </si>
  <si>
    <t xml:space="preserve">ACRE</t>
  </si>
  <si>
    <t xml:space="preserve">Wetland percentage</t>
  </si>
  <si>
    <t xml:space="preserve">Wetland matting &amp; construction</t>
  </si>
  <si>
    <t xml:space="preserve">Mountainous</t>
  </si>
  <si>
    <t xml:space="preserve">Conductor "Materials" data plus "Accessories" data</t>
  </si>
  <si>
    <t xml:space="preserve">Conductor Material</t>
  </si>
  <si>
    <t xml:space="preserve">$ per Phase</t>
  </si>
  <si>
    <t xml:space="preserve">Conductor (Type / Phase)</t>
  </si>
  <si>
    <t xml:space="preserve">ACSS 795 "Drake"</t>
  </si>
  <si>
    <t xml:space="preserve">Wastage, Sag, Clipping</t>
  </si>
  <si>
    <t xml:space="preserve">Feet to Mile calculation</t>
  </si>
  <si>
    <t xml:space="preserve">Conductor phases</t>
  </si>
  <si>
    <t xml:space="preserve">Sub-total  </t>
  </si>
  <si>
    <t xml:space="preserve">Conductor Accessories</t>
  </si>
  <si>
    <t xml:space="preserve">Total Conductor materials and accessories</t>
  </si>
  <si>
    <t xml:space="preserve">Conductor Construction Labor "Installation data"</t>
  </si>
  <si>
    <t xml:space="preserve">Sag, clip, waste factor</t>
  </si>
  <si>
    <t xml:space="preserve">Mile to feet</t>
  </si>
  <si>
    <t xml:space="preserve">3 Phase</t>
  </si>
  <si>
    <t xml:space="preserve">OPGW and /or Shieldwire "Material data"</t>
  </si>
  <si>
    <t xml:space="preserve">Quantity</t>
  </si>
  <si>
    <t xml:space="preserve">$ per 1,000 feet</t>
  </si>
  <si>
    <t xml:space="preserve">Total cost per 1,000 feet</t>
  </si>
  <si>
    <t xml:space="preserve">OPGW and /or Shieldwire "Installation data"</t>
  </si>
  <si>
    <t xml:space="preserve">Project management</t>
  </si>
  <si>
    <t xml:space="preserve">Engineering, environmental studies, and testing and commissioning</t>
  </si>
  <si>
    <t xml:space="preserve">Administrative &amp; General overhead (A&amp;G)</t>
  </si>
  <si>
    <t xml:space="preserve">Structure foundations</t>
  </si>
  <si>
    <t xml:space="preserve">Structure and conductor accessories</t>
  </si>
  <si>
    <t xml:space="preserve">Structure construction labor</t>
  </si>
  <si>
    <t xml:space="preserve">Conductor material</t>
  </si>
  <si>
    <t xml:space="preserve">Conductor construction labor</t>
  </si>
  <si>
    <t xml:space="preserve">OPGW, and/or shieldwire material</t>
  </si>
  <si>
    <t xml:space="preserve">OPGW and/or shieldwire construction labor</t>
  </si>
  <si>
    <t xml:space="preserve">Sub-total Project Costs</t>
  </si>
  <si>
    <t xml:space="preserve">Contingency:</t>
  </si>
  <si>
    <t xml:space="preserve">AFUDC:</t>
  </si>
  <si>
    <t xml:space="preserve">Sub-total Project Implementation</t>
  </si>
  <si>
    <t xml:space="preserve">Total Capital Cost</t>
  </si>
  <si>
    <t xml:space="preserve">Facility type and scope of work:</t>
  </si>
  <si>
    <t xml:space="preserve">New site - 4 positions (double-breaker bus)</t>
  </si>
  <si>
    <t xml:space="preserve">Land Type: </t>
  </si>
  <si>
    <t xml:space="preserve">Terrain Type: </t>
  </si>
  <si>
    <t xml:space="preserve">Electrical equipment material - Power transformer (MVA)</t>
  </si>
  <si>
    <t xml:space="preserve">Electrical equipment material - Bus or Transformer secondary voltage</t>
  </si>
  <si>
    <t xml:space="preserve">Electrical equipment material - (MVAr) type</t>
  </si>
  <si>
    <t xml:space="preserve">Electrical equipment material - (MVAr) size</t>
  </si>
  <si>
    <t xml:space="preserve">acres</t>
  </si>
  <si>
    <t xml:space="preserve">Land required</t>
  </si>
  <si>
    <t xml:space="preserve">miles</t>
  </si>
  <si>
    <t xml:space="preserve">Access road</t>
  </si>
  <si>
    <t xml:space="preserve">each</t>
  </si>
  <si>
    <t xml:space="preserve">Circuit breaker</t>
  </si>
  <si>
    <t xml:space="preserve">Disconnect switch</t>
  </si>
  <si>
    <t xml:space="preserve">set of 3</t>
  </si>
  <si>
    <t xml:space="preserve">Voltage transformer</t>
  </si>
  <si>
    <t xml:space="preserve">3-phase</t>
  </si>
  <si>
    <t xml:space="preserve">Bus support, bus, and fittings</t>
  </si>
  <si>
    <t xml:space="preserve">Relay panel</t>
  </si>
  <si>
    <t xml:space="preserve">feet</t>
  </si>
  <si>
    <t xml:space="preserve">Control cable</t>
  </si>
  <si>
    <t xml:space="preserve">Conduit</t>
  </si>
  <si>
    <t xml:space="preserve">per foot</t>
  </si>
  <si>
    <t xml:space="preserve">Cable trench</t>
  </si>
  <si>
    <t xml:space="preserve">Land acquisition, and regulatory and permitting</t>
  </si>
  <si>
    <t xml:space="preserve">Land &amp; Terrain Type</t>
  </si>
  <si>
    <t xml:space="preserve">Acres</t>
  </si>
  <si>
    <t xml:space="preserve">Cost per acre</t>
  </si>
  <si>
    <t xml:space="preserve">Site work</t>
  </si>
  <si>
    <t xml:space="preserve">Terrain Type</t>
  </si>
  <si>
    <t xml:space="preserve">Applies to all types</t>
  </si>
  <si>
    <t xml:space="preserve">Access Road</t>
  </si>
  <si>
    <t xml:space="preserve">Unit Cost per mile</t>
  </si>
  <si>
    <t xml:space="preserve">Steel support structure material</t>
  </si>
  <si>
    <t xml:space="preserve">Units</t>
  </si>
  <si>
    <t xml:space="preserve">Number of units</t>
  </si>
  <si>
    <t xml:space="preserve">Steel stand weight</t>
  </si>
  <si>
    <t xml:space="preserve">Total Structure Material</t>
  </si>
  <si>
    <t xml:space="preserve">Steel support structure installation</t>
  </si>
  <si>
    <t xml:space="preserve">Steel stand installation</t>
  </si>
  <si>
    <t xml:space="preserve">Substation foundations</t>
  </si>
  <si>
    <t xml:space="preserve">Foundation size Cu. Yd.</t>
  </si>
  <si>
    <t xml:space="preserve">Control Enclosure</t>
  </si>
  <si>
    <t xml:space="preserve">Electrical equipment material</t>
  </si>
  <si>
    <t xml:space="preserve">Power transformer</t>
  </si>
  <si>
    <t xml:space="preserve">MVA</t>
  </si>
  <si>
    <t xml:space="preserve">MVAr Equipment</t>
  </si>
  <si>
    <t xml:space="preserve">MVAr</t>
  </si>
  <si>
    <t xml:space="preserve">Electrical equipment installation</t>
  </si>
  <si>
    <t xml:space="preserve">Hardware/Insulators/Grounding</t>
  </si>
  <si>
    <t xml:space="preserve">Control enclosure - not including communication equipment</t>
  </si>
  <si>
    <t xml:space="preserve">All except comm. equip.</t>
  </si>
  <si>
    <t xml:space="preserve">Relay panels</t>
  </si>
  <si>
    <t xml:space="preserve">Communication system</t>
  </si>
  <si>
    <t xml:space="preserve">Control cable, conduit, and cable trench</t>
  </si>
  <si>
    <t xml:space="preserve">Access roads</t>
  </si>
  <si>
    <t xml:space="preserve">Steel support structure construction labor</t>
  </si>
  <si>
    <t xml:space="preserve">Substations foundations</t>
  </si>
  <si>
    <t xml:space="preserve">Electrical equipment construction labor</t>
  </si>
  <si>
    <t xml:space="preserve">Line Type</t>
  </si>
  <si>
    <t xml:space="preserve">Type</t>
  </si>
  <si>
    <t xml:space="preserve">Circuit</t>
  </si>
  <si>
    <t xml:space="preserve">Concatenate</t>
  </si>
  <si>
    <t xml:space="preserve">ArkansasA/CNewSingle</t>
  </si>
  <si>
    <t xml:space="preserve">IllinoisA/CNewSingle</t>
  </si>
  <si>
    <t xml:space="preserve">IndianaA/CNewSingle</t>
  </si>
  <si>
    <t xml:space="preserve">IowaA/CNewSingle</t>
  </si>
  <si>
    <t xml:space="preserve">KentuckyA/CNewSingle</t>
  </si>
  <si>
    <t xml:space="preserve">LouisianaA/CNewSingle</t>
  </si>
  <si>
    <t xml:space="preserve">MichiganA/CNewSingle</t>
  </si>
  <si>
    <t xml:space="preserve">MinnesotaA/CNewSingle</t>
  </si>
  <si>
    <t xml:space="preserve">MississippiA/CNewSingle</t>
  </si>
  <si>
    <t xml:space="preserve">MissouriA/CNewSingle</t>
  </si>
  <si>
    <t xml:space="preserve">MontanaA/CNewSingle</t>
  </si>
  <si>
    <t xml:space="preserve">North DakotaA/CNewSingle</t>
  </si>
  <si>
    <t xml:space="preserve">South DakotaA/CNewSingle</t>
  </si>
  <si>
    <t xml:space="preserve">TexasA/CNewSingle</t>
  </si>
  <si>
    <t xml:space="preserve">WisconsinA/CNewSingle</t>
  </si>
  <si>
    <t xml:space="preserve">Double</t>
  </si>
  <si>
    <t xml:space="preserve">ArkansasA/CNewDouble</t>
  </si>
  <si>
    <t xml:space="preserve">IllinoisA/CNewDouble</t>
  </si>
  <si>
    <t xml:space="preserve">IndianaA/CNewDouble</t>
  </si>
  <si>
    <t xml:space="preserve">IowaA/CNewDouble</t>
  </si>
  <si>
    <t xml:space="preserve">KentuckyA/CNewDouble</t>
  </si>
  <si>
    <t xml:space="preserve">LouisianaA/CNewDouble</t>
  </si>
  <si>
    <t xml:space="preserve">MichiganA/CNewDouble</t>
  </si>
  <si>
    <t xml:space="preserve">MinnesotaA/CNewDouble</t>
  </si>
  <si>
    <t xml:space="preserve">MississippiA/CNewDouble</t>
  </si>
  <si>
    <t xml:space="preserve">MissouriA/CNewDouble</t>
  </si>
  <si>
    <t xml:space="preserve">MontanaA/CNewDouble</t>
  </si>
  <si>
    <t xml:space="preserve">North DakotaA/CNewDouble</t>
  </si>
  <si>
    <t xml:space="preserve">South DakotaA/CNewDouble</t>
  </si>
  <si>
    <t xml:space="preserve">TexasA/CNewDouble</t>
  </si>
  <si>
    <t xml:space="preserve">WisconsinA/CNewDouble</t>
  </si>
  <si>
    <t xml:space="preserve">Rebuild</t>
  </si>
  <si>
    <t xml:space="preserve">ArkansasA/CRebuildSingle</t>
  </si>
  <si>
    <t xml:space="preserve">IllinoisA/CRebuildSingle</t>
  </si>
  <si>
    <t xml:space="preserve">IndianaA/CRebuildSingle</t>
  </si>
  <si>
    <t xml:space="preserve">IowaA/CRebuildSingle</t>
  </si>
  <si>
    <t xml:space="preserve">KentuckyA/CRebuildSingle</t>
  </si>
  <si>
    <t xml:space="preserve">LouisianaA/CRebuildSingle</t>
  </si>
  <si>
    <t xml:space="preserve">MichiganA/CRebuildSingle</t>
  </si>
  <si>
    <t xml:space="preserve">MinnesotaA/CRebuildSingle</t>
  </si>
  <si>
    <t xml:space="preserve">MississippiA/CRebuildSingle</t>
  </si>
  <si>
    <t xml:space="preserve">MissouriA/CRebuildSingle</t>
  </si>
  <si>
    <t xml:space="preserve">MontanaA/CRebuildSingle</t>
  </si>
  <si>
    <t xml:space="preserve">North DakotaA/CRebuildSingle</t>
  </si>
  <si>
    <t xml:space="preserve">South DakotaA/CRebuildSingle</t>
  </si>
  <si>
    <t xml:space="preserve">TexasA/CRebuildSingle</t>
  </si>
  <si>
    <t xml:space="preserve">WisconsinA/CRebuildSingle</t>
  </si>
  <si>
    <t xml:space="preserve">ArkansasA/CRebuildDouble</t>
  </si>
  <si>
    <t xml:space="preserve">IllinoisA/CRebuildDouble</t>
  </si>
  <si>
    <t xml:space="preserve">IndianaA/CRebuildDouble</t>
  </si>
  <si>
    <t xml:space="preserve">IowaA/CRebuildDouble</t>
  </si>
  <si>
    <t xml:space="preserve">KentuckyA/CRebuildDouble</t>
  </si>
  <si>
    <t xml:space="preserve">LouisianaA/CRebuildDouble</t>
  </si>
  <si>
    <t xml:space="preserve">MichiganA/CRebuildDouble</t>
  </si>
  <si>
    <t xml:space="preserve">MinnesotaA/CRebuildDouble</t>
  </si>
  <si>
    <t xml:space="preserve">MississippiA/CRebuildDouble</t>
  </si>
  <si>
    <t xml:space="preserve">MissouriA/CRebuildDouble</t>
  </si>
  <si>
    <t xml:space="preserve">MontanaA/CRebuildDouble</t>
  </si>
  <si>
    <t xml:space="preserve">North DakotaA/CRebuildDouble</t>
  </si>
  <si>
    <t xml:space="preserve">South DakotaA/CRebuildDouble</t>
  </si>
  <si>
    <t xml:space="preserve">TexasA/CRebuildDouble</t>
  </si>
  <si>
    <t xml:space="preserve">WisconsinA/CRebuildDouble</t>
  </si>
  <si>
    <t xml:space="preserve">Reconductor</t>
  </si>
  <si>
    <t xml:space="preserve">ArkansasA/CReconductorSingle</t>
  </si>
  <si>
    <t xml:space="preserve">IllinoisA/CReconductorSingle</t>
  </si>
  <si>
    <t xml:space="preserve">IndianaA/CReconductorSingle</t>
  </si>
  <si>
    <t xml:space="preserve">IowaA/CReconductorSingle</t>
  </si>
  <si>
    <t xml:space="preserve">KentuckyA/CReconductorSingle</t>
  </si>
  <si>
    <t xml:space="preserve">LouisianaA/CReconductorSingle</t>
  </si>
  <si>
    <t xml:space="preserve">MichiganA/CReconductorSingle</t>
  </si>
  <si>
    <t xml:space="preserve">MinnesotaA/CReconductorSingle</t>
  </si>
  <si>
    <t xml:space="preserve">MississippiA/CReconductorSingle</t>
  </si>
  <si>
    <t xml:space="preserve">MissouriA/CReconductorSingle</t>
  </si>
  <si>
    <t xml:space="preserve">MontanaA/CReconductorSingle</t>
  </si>
  <si>
    <t xml:space="preserve">North DakotaA/CReconductorSingle</t>
  </si>
  <si>
    <t xml:space="preserve">South DakotaA/CReconductorSingle</t>
  </si>
  <si>
    <t xml:space="preserve">TexasA/CReconductorSingle</t>
  </si>
  <si>
    <t xml:space="preserve">WisconsinA/CReconductorSingle</t>
  </si>
  <si>
    <t xml:space="preserve">HVDC</t>
  </si>
  <si>
    <t xml:space="preserve">ArkansasHVDCNewSingle</t>
  </si>
  <si>
    <t xml:space="preserve">IllinoisHVDCNewSingle</t>
  </si>
  <si>
    <t xml:space="preserve">IndianaHVDCNewSingle</t>
  </si>
  <si>
    <t xml:space="preserve">IowaHVDCNewSingle</t>
  </si>
  <si>
    <t xml:space="preserve">KentuckyHVDCNewSingle</t>
  </si>
  <si>
    <t xml:space="preserve">LouisianaHVDCNewSingle</t>
  </si>
  <si>
    <t xml:space="preserve">MichiganHVDCNewSingle</t>
  </si>
  <si>
    <t xml:space="preserve">MinnesotaHVDCNewSingle</t>
  </si>
  <si>
    <t xml:space="preserve">MississippiHVDCNewSingle</t>
  </si>
  <si>
    <t xml:space="preserve">MissouriHVDCNewSingle</t>
  </si>
  <si>
    <t xml:space="preserve">MontanaHVDCNewSingle</t>
  </si>
  <si>
    <t xml:space="preserve">North DakotaHVDCNewSingle</t>
  </si>
  <si>
    <t xml:space="preserve">South DakotaHVDCNewSingle</t>
  </si>
  <si>
    <t xml:space="preserve">TexasHVDCNewSingle</t>
  </si>
  <si>
    <t xml:space="preserve">WisconsinHVDCNewSingle</t>
  </si>
  <si>
    <t xml:space="preserve">Sub</t>
  </si>
  <si>
    <t xml:space="preserve">Upgrade - Add one position (straight or ring bus)</t>
  </si>
  <si>
    <t xml:space="preserve">Upgrade - Add one position (double-breaker bus)</t>
  </si>
  <si>
    <t xml:space="preserve">Upgrade - Add two positions (straight or ring bus)</t>
  </si>
  <si>
    <t xml:space="preserve">Upgrade - Add two positions (breaker-and-a-half bus)</t>
  </si>
  <si>
    <t xml:space="preserve">Upgrade - Add two positions (double-breaker bus)</t>
  </si>
  <si>
    <t xml:space="preserve">New - 3 positions (ring bus)</t>
  </si>
  <si>
    <t xml:space="preserve">New - 3 positions (breaker-and-a-half bus)</t>
  </si>
  <si>
    <t xml:space="preserve">New - 3 positions (double-breaker bus)</t>
  </si>
  <si>
    <t xml:space="preserve">New - 4 positions (breaker-and-a-half bus)</t>
  </si>
  <si>
    <t xml:space="preserve">New - 4 positions (double-breaker bus)</t>
  </si>
  <si>
    <t xml:space="preserve">New - 5 positions (double-breaker bus)</t>
  </si>
  <si>
    <t xml:space="preserve">New - 5 positions (breaker-and-a-half bus)</t>
  </si>
  <si>
    <t xml:space="preserve">New - 6 positions (ring bus)</t>
  </si>
  <si>
    <t xml:space="preserve">New - 6 positions (breaker-and-a-half bus)</t>
  </si>
  <si>
    <t xml:space="preserve">New - 6 positions (double-breaker bus)</t>
  </si>
  <si>
    <t xml:space="preserve">HVDC - Line Commutated Converter</t>
  </si>
  <si>
    <t xml:space="preserve">HVDC - Voltage Source Converter</t>
  </si>
  <si>
    <t xml:space="preserve">Transformer secondary voltage (if applicable)</t>
  </si>
  <si>
    <t xml:space="preserve">Note: Transformer unit cost; +10% overhead, +30% Contingency, +7.5% AFUDC</t>
  </si>
  <si>
    <t xml:space="preserve">Transformer</t>
  </si>
  <si>
    <t xml:space="preserve">List</t>
  </si>
  <si>
    <t xml:space="preserve">Transmission Line - 5 year construction - convert present year capital cost to nominal cost</t>
  </si>
  <si>
    <t xml:space="preserve">Construction cost spend per year allocation</t>
  </si>
  <si>
    <t xml:space="preserve">Year 1</t>
  </si>
  <si>
    <t xml:space="preserve">Year 2</t>
  </si>
  <si>
    <t xml:space="preserve">Year 3</t>
  </si>
  <si>
    <t xml:space="preserve">Year 4</t>
  </si>
  <si>
    <t xml:space="preserve">Year 5</t>
  </si>
  <si>
    <t xml:space="preserve">Inflation Rate</t>
  </si>
  <si>
    <t xml:space="preserve">Project Cost (PC) Present Year</t>
  </si>
  <si>
    <t xml:space="preserve">PI to In Service cost "Nominal"</t>
  </si>
  <si>
    <t xml:space="preserve">% increase from current year $</t>
  </si>
  <si>
    <t xml:space="preserve">AFUDC effective %</t>
  </si>
  <si>
    <t xml:space="preserve">AFUDC is calculated based on the average spend for the current year plus the cumulative spend from prior years.</t>
  </si>
  <si>
    <t xml:space="preserve">Year #</t>
  </si>
  <si>
    <t xml:space="preserve">Gross Plant
Project Cost
 ISD Yr.$
 (PI)</t>
  </si>
  <si>
    <t xml:space="preserve">Net Plant
Project Cost
 ISD Yr.$
 (PI)</t>
  </si>
  <si>
    <t xml:space="preserve">Annual
Depreciation
Factor</t>
  </si>
  <si>
    <t xml:space="preserve">Return Factor
subject to decrease in net plant</t>
  </si>
  <si>
    <t xml:space="preserve">Expense
Factor</t>
  </si>
  <si>
    <t xml:space="preserve">Annual Cost to be Recovered</t>
  </si>
  <si>
    <t xml:space="preserve">Present Value
Discount
Rate</t>
  </si>
  <si>
    <t xml:space="preserve">Net Present Value Cost</t>
  </si>
  <si>
    <t xml:space="preserve">MTEP Year</t>
  </si>
  <si>
    <t xml:space="preserve">Expense Factor and Return Factor (by State)</t>
  </si>
  <si>
    <t xml:space="preserve">Expense Factor</t>
  </si>
  <si>
    <t xml:space="preserve">Return Factor</t>
  </si>
  <si>
    <t xml:space="preserve">Average</t>
  </si>
</sst>
</file>

<file path=xl/styles.xml><?xml version="1.0" encoding="utf-8"?>
<styleSheet xmlns="http://schemas.openxmlformats.org/spreadsheetml/2006/main">
  <numFmts count="27">
    <numFmt numFmtId="164" formatCode="General"/>
    <numFmt numFmtId="165" formatCode="_(* #,##0.00_);_(* \(#,##0.00\);_(* \-??_);_(@_)"/>
    <numFmt numFmtId="166" formatCode="0%"/>
    <numFmt numFmtId="167" formatCode="_(* #,##0_);_(* \(#,##0\);_(* \-??_);_(@_)"/>
    <numFmt numFmtId="168" formatCode="\$#,##0"/>
    <numFmt numFmtId="169" formatCode="_(\$* #,##0.00_);_(\$* \(#,##0.00\);_(\$* \-??_);_(@_)"/>
    <numFmt numFmtId="170" formatCode="\$#,##0_);&quot;($&quot;#,##0\)"/>
    <numFmt numFmtId="171" formatCode="_(\$* #,##0_);_(\$* \(#,##0\);_(\$* \-??_);_(@_)"/>
    <numFmt numFmtId="172" formatCode="#,##0"/>
    <numFmt numFmtId="173" formatCode="\$#,##0_);[RED]&quot;($&quot;#,##0\)"/>
    <numFmt numFmtId="174" formatCode="0.0"/>
    <numFmt numFmtId="175" formatCode="0.0%"/>
    <numFmt numFmtId="176" formatCode="\$#.0\M"/>
    <numFmt numFmtId="177" formatCode="d\-mmm"/>
    <numFmt numFmtId="178" formatCode="m/d/yyyy"/>
    <numFmt numFmtId="179" formatCode="\$#.00\M"/>
    <numFmt numFmtId="180" formatCode="\$#\M"/>
    <numFmt numFmtId="181" formatCode="0.00%"/>
    <numFmt numFmtId="182" formatCode="#&quot; MVA&quot;"/>
    <numFmt numFmtId="183" formatCode="\$#,##0.00_);[RED]&quot;($&quot;#,##0.00\)"/>
    <numFmt numFmtId="184" formatCode="_(* #,##0.0_);_(* \(#,##0.0\);_(* \-??_);_(@_)"/>
    <numFmt numFmtId="185" formatCode="@"/>
    <numFmt numFmtId="186" formatCode="0.00"/>
    <numFmt numFmtId="187" formatCode="\$#,##0.00"/>
    <numFmt numFmtId="188" formatCode="0"/>
    <numFmt numFmtId="189" formatCode="0.000"/>
    <numFmt numFmtId="190" formatCode="0_);\(0\)"/>
  </numFmts>
  <fonts count="28">
    <font>
      <sz val="11"/>
      <color theme="1"/>
      <name val="Calibri"/>
      <family val="2"/>
    </font>
    <font>
      <sz val="10"/>
      <name val="Arial"/>
      <family val="0"/>
    </font>
    <font>
      <sz val="10"/>
      <name val="Arial"/>
      <family val="0"/>
    </font>
    <font>
      <sz val="10"/>
      <name val="Arial"/>
      <family val="0"/>
    </font>
    <font>
      <b val="true"/>
      <sz val="14"/>
      <color theme="1"/>
      <name val="Arial"/>
      <family val="2"/>
    </font>
    <font>
      <u val="single"/>
      <sz val="11"/>
      <color rgb="FF000000"/>
      <name val="Arial"/>
      <family val="2"/>
    </font>
    <font>
      <sz val="11"/>
      <color rgb="FF000000"/>
      <name val="Arial"/>
      <family val="2"/>
    </font>
    <font>
      <sz val="11"/>
      <color theme="1"/>
      <name val="Arial"/>
      <family val="2"/>
    </font>
    <font>
      <sz val="11"/>
      <name val="Arial"/>
      <family val="2"/>
    </font>
    <font>
      <u val="single"/>
      <sz val="11"/>
      <name val="Arial"/>
      <family val="2"/>
    </font>
    <font>
      <sz val="10"/>
      <color theme="1"/>
      <name val="Lato"/>
      <family val="2"/>
    </font>
    <font>
      <b val="true"/>
      <sz val="12"/>
      <color theme="1"/>
      <name val="Lato"/>
      <family val="2"/>
    </font>
    <font>
      <b val="true"/>
      <sz val="10"/>
      <color theme="1"/>
      <name val="Lato"/>
      <family val="2"/>
    </font>
    <font>
      <b val="true"/>
      <sz val="11"/>
      <color theme="1"/>
      <name val="Lato"/>
      <family val="2"/>
    </font>
    <font>
      <sz val="10"/>
      <color theme="1"/>
      <name val="Lato"/>
      <family val="2"/>
    </font>
    <font>
      <b val="true"/>
      <sz val="9"/>
      <color theme="1"/>
      <name val="Lato"/>
      <family val="2"/>
    </font>
    <font>
      <b val="true"/>
      <sz val="12"/>
      <color theme="1"/>
      <name val="Calibri"/>
      <family val="2"/>
    </font>
    <font>
      <b val="true"/>
      <i val="true"/>
      <sz val="12"/>
      <color rgb="FF000000"/>
      <name val="Calibri"/>
      <family val="2"/>
    </font>
    <font>
      <sz val="10"/>
      <color theme="1"/>
      <name val="Arial"/>
      <family val="2"/>
    </font>
    <font>
      <b val="true"/>
      <sz val="10"/>
      <color theme="1"/>
      <name val="Arial"/>
      <family val="2"/>
    </font>
    <font>
      <b val="true"/>
      <sz val="11"/>
      <color theme="1"/>
      <name val="Calibri"/>
      <family val="2"/>
    </font>
    <font>
      <b val="true"/>
      <sz val="10"/>
      <color theme="0"/>
      <name val="Arial"/>
      <family val="2"/>
    </font>
    <font>
      <sz val="10"/>
      <color theme="1"/>
      <name val="Arial"/>
      <family val="2"/>
    </font>
    <font>
      <sz val="9"/>
      <color theme="1"/>
      <name val="Arial"/>
      <family val="2"/>
    </font>
    <font>
      <sz val="11"/>
      <color theme="1"/>
      <name val="Calibri"/>
      <family val="2"/>
    </font>
    <font>
      <sz val="11"/>
      <color theme="3"/>
      <name val="Calibri"/>
      <family val="2"/>
    </font>
    <font>
      <b val="true"/>
      <sz val="10"/>
      <color theme="1"/>
      <name val="Arial"/>
      <family val="2"/>
    </font>
    <font>
      <b val="true"/>
      <sz val="10"/>
      <name val="Arial"/>
      <family val="2"/>
    </font>
  </fonts>
  <fills count="16">
    <fill>
      <patternFill patternType="none"/>
    </fill>
    <fill>
      <patternFill patternType="gray125"/>
    </fill>
    <fill>
      <patternFill patternType="solid">
        <fgColor theme="0"/>
        <bgColor rgb="FFFFFFCC"/>
      </patternFill>
    </fill>
    <fill>
      <patternFill patternType="solid">
        <fgColor theme="0" tint="-0.15"/>
        <bgColor rgb="FFD9D8D6"/>
      </patternFill>
    </fill>
    <fill>
      <patternFill patternType="solid">
        <fgColor theme="2"/>
        <bgColor rgb="FFA5D07A"/>
      </patternFill>
    </fill>
    <fill>
      <patternFill patternType="solid">
        <fgColor theme="8"/>
        <bgColor rgb="FF91B6BB"/>
      </patternFill>
    </fill>
    <fill>
      <patternFill patternType="solid">
        <fgColor rgb="FFBFBFBF"/>
        <bgColor rgb="FFA7A8A9"/>
      </patternFill>
    </fill>
    <fill>
      <patternFill patternType="solid">
        <fgColor rgb="FFB6DCE1"/>
        <bgColor rgb="FFD9D9D9"/>
      </patternFill>
    </fill>
    <fill>
      <patternFill patternType="solid">
        <fgColor rgb="FF487629"/>
        <bgColor rgb="FF339966"/>
      </patternFill>
    </fill>
    <fill>
      <patternFill patternType="solid">
        <fgColor theme="3"/>
        <bgColor rgb="FF008080"/>
      </patternFill>
    </fill>
    <fill>
      <patternFill patternType="solid">
        <fgColor theme="5"/>
        <bgColor rgb="FFFFCC00"/>
      </patternFill>
    </fill>
    <fill>
      <patternFill patternType="solid">
        <fgColor rgb="FFD9D8D6"/>
        <bgColor rgb="FFD9D9D9"/>
      </patternFill>
    </fill>
    <fill>
      <patternFill patternType="solid">
        <fgColor theme="1"/>
        <bgColor rgb="FF003300"/>
      </patternFill>
    </fill>
    <fill>
      <patternFill patternType="solid">
        <fgColor theme="6"/>
        <bgColor rgb="FFA7A8A9"/>
      </patternFill>
    </fill>
    <fill>
      <patternFill patternType="solid">
        <fgColor theme="7"/>
        <bgColor rgb="FF91B6BB"/>
      </patternFill>
    </fill>
    <fill>
      <patternFill patternType="solid">
        <fgColor rgb="FFA5D07A"/>
        <bgColor rgb="FFBFBFBF"/>
      </patternFill>
    </fill>
  </fills>
  <borders count="30">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right/>
      <top/>
      <bottom style="medium"/>
      <diagonal/>
    </border>
    <border diagonalUp="false" diagonalDown="false">
      <left style="medium"/>
      <right/>
      <top/>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style="medium"/>
      <bottom/>
      <diagonal/>
    </border>
    <border diagonalUp="false" diagonalDown="false">
      <left/>
      <right style="medium"/>
      <top/>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style="medium"/>
      <right style="thin"/>
      <top style="medium"/>
      <bottom style="medium"/>
      <diagonal/>
    </border>
    <border diagonalUp="false" diagonalDown="false">
      <left style="thin"/>
      <right style="thin"/>
      <top/>
      <bottom style="thin"/>
      <diagonal/>
    </border>
    <border diagonalUp="false" diagonalDown="false">
      <left/>
      <right/>
      <top style="thin"/>
      <bottom style="double"/>
      <diagonal/>
    </border>
    <border diagonalUp="false" diagonalDown="false">
      <left/>
      <right/>
      <top/>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style="thin"/>
      <bottom style="thin"/>
      <diagonal/>
    </border>
    <border diagonalUp="false" diagonalDown="false">
      <left style="thin"/>
      <right style="thin"/>
      <top style="medium"/>
      <bottom style="thin"/>
      <diagonal/>
    </border>
    <border diagonalUp="false" diagonalDown="false">
      <left/>
      <right/>
      <top style="thin"/>
      <bottom/>
      <diagonal/>
    </border>
    <border diagonalUp="false" diagonalDown="false">
      <left/>
      <right/>
      <top style="double"/>
      <bottom/>
      <diagonal/>
    </border>
    <border diagonalUp="false" diagonalDown="false">
      <left/>
      <right/>
      <top/>
      <bottom style="double"/>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cellStyleXfs>
  <cellXfs count="3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15"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tru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7" fontId="10" fillId="0" borderId="0" xfId="15" applyFont="true" applyBorder="tru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true" indent="0" shrinkToFit="false"/>
      <protection locked="true" hidden="false"/>
    </xf>
    <xf numFmtId="167" fontId="12" fillId="3" borderId="2" xfId="15" applyFont="true" applyBorder="true" applyAlignment="true" applyProtection="true">
      <alignment horizontal="center" vertical="bottom" textRotation="0" wrapText="true" indent="0" shrinkToFit="false"/>
      <protection locked="true" hidden="false"/>
    </xf>
    <xf numFmtId="164" fontId="12" fillId="3" borderId="2" xfId="0" applyFont="true" applyBorder="true" applyAlignment="true" applyProtection="false">
      <alignment horizontal="center" vertical="bottom" textRotation="0" wrapText="true" indent="0" shrinkToFit="false"/>
      <protection locked="true" hidden="false"/>
    </xf>
    <xf numFmtId="168" fontId="12" fillId="3" borderId="2" xfId="0" applyFont="true" applyBorder="true" applyAlignment="true" applyProtection="false">
      <alignment horizontal="center" vertical="bottom" textRotation="0" wrapText="tru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70" fontId="10" fillId="0" borderId="1" xfId="17" applyFont="true" applyBorder="true" applyAlignment="true" applyProtection="true">
      <alignment horizontal="center" vertical="bottom" textRotation="0" wrapText="false" indent="0" shrinkToFit="false"/>
      <protection locked="true" hidden="false"/>
    </xf>
    <xf numFmtId="171" fontId="10" fillId="0" borderId="0" xfId="17" applyFont="true" applyBorder="true" applyAlignment="true" applyProtection="true">
      <alignment horizontal="general" vertical="bottom" textRotation="0" wrapText="fals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72" fontId="12" fillId="4" borderId="4" xfId="0" applyFont="true" applyBorder="true" applyAlignment="true" applyProtection="false">
      <alignment horizontal="center" vertical="center" textRotation="0" wrapText="true" indent="0" shrinkToFit="false"/>
      <protection locked="true" hidden="false"/>
    </xf>
    <xf numFmtId="164" fontId="12" fillId="3" borderId="5" xfId="0" applyFont="true" applyBorder="true" applyAlignment="true" applyProtection="false">
      <alignment horizontal="center" vertical="center" textRotation="0" wrapText="true" indent="0" shrinkToFit="false"/>
      <protection locked="true" hidden="false"/>
    </xf>
    <xf numFmtId="164" fontId="12" fillId="3" borderId="6" xfId="0" applyFont="true" applyBorder="true" applyAlignment="true" applyProtection="false">
      <alignment horizontal="center" vertical="center" textRotation="0" wrapText="true" indent="0" shrinkToFit="false"/>
      <protection locked="true" hidden="false"/>
    </xf>
    <xf numFmtId="164" fontId="12" fillId="3" borderId="4" xfId="0" applyFont="true" applyBorder="true" applyAlignment="true" applyProtection="false">
      <alignment horizontal="center" vertical="center" textRotation="0" wrapText="true" indent="0" shrinkToFit="false"/>
      <protection locked="true" hidden="false"/>
    </xf>
    <xf numFmtId="164" fontId="12" fillId="3" borderId="7" xfId="0" applyFont="true" applyBorder="true" applyAlignment="true" applyProtection="false">
      <alignment horizontal="center" vertical="center" textRotation="0" wrapText="true" indent="0" shrinkToFit="false"/>
      <protection locked="true" hidden="false"/>
    </xf>
    <xf numFmtId="172" fontId="10" fillId="2" borderId="8" xfId="0" applyFont="true" applyBorder="true" applyAlignment="true" applyProtection="false">
      <alignment horizontal="center" vertical="center" textRotation="0" wrapText="true" indent="0" shrinkToFit="false"/>
      <protection locked="true" hidden="false"/>
    </xf>
    <xf numFmtId="173" fontId="10" fillId="2" borderId="8" xfId="0" applyFont="true" applyBorder="true" applyAlignment="true" applyProtection="false">
      <alignment horizontal="center" vertical="center" textRotation="0" wrapText="true" indent="0" shrinkToFit="false"/>
      <protection locked="true" hidden="false"/>
    </xf>
    <xf numFmtId="164" fontId="11" fillId="2" borderId="9" xfId="0" applyFont="true" applyBorder="true" applyAlignment="true" applyProtection="false">
      <alignment horizontal="left" vertical="center" textRotation="0" wrapText="false" indent="0" shrinkToFit="false"/>
      <protection locked="true" hidden="false"/>
    </xf>
    <xf numFmtId="164" fontId="11" fillId="2"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2" fillId="5" borderId="5"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center" vertical="center" textRotation="0" wrapText="true" indent="0" shrinkToFit="false"/>
      <protection locked="true" hidden="false"/>
    </xf>
    <xf numFmtId="164" fontId="12" fillId="3" borderId="10" xfId="0" applyFont="true" applyBorder="true" applyAlignment="true" applyProtection="false">
      <alignment horizontal="center" vertical="center" textRotation="0" wrapText="true" indent="0" shrinkToFit="false"/>
      <protection locked="true" hidden="false"/>
    </xf>
    <xf numFmtId="172" fontId="10" fillId="2" borderId="3" xfId="0" applyFont="true" applyBorder="true" applyAlignment="true" applyProtection="false">
      <alignment horizontal="center" vertical="center" textRotation="0" wrapText="true" indent="0" shrinkToFit="false"/>
      <protection locked="true" hidden="false"/>
    </xf>
    <xf numFmtId="164" fontId="12" fillId="3" borderId="3" xfId="0" applyFont="true" applyBorder="true" applyAlignment="true" applyProtection="false">
      <alignment horizontal="center" vertical="center" textRotation="0" wrapText="true" indent="0" shrinkToFit="false"/>
      <protection locked="true" hidden="false"/>
    </xf>
    <xf numFmtId="164" fontId="11" fillId="2" borderId="9" xfId="0" applyFont="true" applyBorder="true" applyAlignment="true" applyProtection="false">
      <alignment horizontal="center" vertical="center" textRotation="0" wrapText="true" indent="0" shrinkToFit="false"/>
      <protection locked="true" hidden="false"/>
    </xf>
    <xf numFmtId="164" fontId="10" fillId="4" borderId="8"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false" applyProtection="false">
      <alignment horizontal="general" vertical="bottom" textRotation="0" wrapText="false" indent="0" shrinkToFit="false"/>
      <protection locked="true" hidden="false"/>
    </xf>
    <xf numFmtId="164" fontId="12" fillId="4" borderId="7" xfId="0" applyFont="true" applyBorder="true" applyAlignment="true" applyProtection="false">
      <alignment horizontal="center" vertical="center" textRotation="0" wrapText="true" indent="0" shrinkToFit="false"/>
      <protection locked="true" hidden="false"/>
    </xf>
    <xf numFmtId="164" fontId="10" fillId="2" borderId="8" xfId="0" applyFont="true" applyBorder="true" applyAlignment="true" applyProtection="false">
      <alignment horizontal="center" vertical="center" textRotation="0" wrapText="true" indent="0" shrinkToFit="false"/>
      <protection locked="true" hidden="false"/>
    </xf>
    <xf numFmtId="164" fontId="10" fillId="0" borderId="8"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12" fillId="3" borderId="11" xfId="0" applyFont="true" applyBorder="true" applyAlignment="true" applyProtection="false">
      <alignment horizontal="center" vertical="center" textRotation="0" wrapText="true" indent="0" shrinkToFit="false"/>
      <protection locked="true" hidden="false"/>
    </xf>
    <xf numFmtId="164" fontId="12" fillId="3" borderId="8" xfId="0" applyFont="true" applyBorder="true" applyAlignment="true" applyProtection="false">
      <alignment horizontal="center" vertical="center" textRotation="0" wrapText="true" indent="0" shrinkToFit="false"/>
      <protection locked="true" hidden="false"/>
    </xf>
    <xf numFmtId="164" fontId="12" fillId="2" borderId="7"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4" fontId="10" fillId="2" borderId="7" xfId="0" applyFont="true" applyBorder="true" applyAlignment="true" applyProtection="false">
      <alignment horizontal="center" vertical="center" textRotation="0" wrapText="true" indent="0" shrinkToFit="false"/>
      <protection locked="true" hidden="false"/>
    </xf>
    <xf numFmtId="164" fontId="10" fillId="2" borderId="11" xfId="0" applyFont="true" applyBorder="true" applyAlignment="true" applyProtection="false">
      <alignment horizontal="center" vertical="center" textRotation="0" wrapText="true" indent="0" shrinkToFit="false"/>
      <protection locked="true" hidden="false"/>
    </xf>
    <xf numFmtId="164" fontId="10" fillId="2" borderId="4" xfId="0" applyFont="true" applyBorder="true" applyAlignment="true" applyProtection="false">
      <alignment horizontal="center" vertical="center" textRotation="0" wrapText="true" indent="0" shrinkToFit="false"/>
      <protection locked="true" hidden="false"/>
    </xf>
    <xf numFmtId="173" fontId="10" fillId="2" borderId="3" xfId="0" applyFont="true" applyBorder="true" applyAlignment="true" applyProtection="false">
      <alignment horizontal="center" vertical="center" textRotation="0" wrapText="true" indent="0" shrinkToFit="false"/>
      <protection locked="true" hidden="false"/>
    </xf>
    <xf numFmtId="164" fontId="11" fillId="2" borderId="9" xfId="0" applyFont="true" applyBorder="true" applyAlignment="true" applyProtection="false">
      <alignment horizontal="center" vertical="center" textRotation="0" wrapText="false" indent="0" shrinkToFit="false"/>
      <protection locked="true" hidden="false"/>
    </xf>
    <xf numFmtId="164" fontId="10" fillId="4" borderId="4" xfId="0" applyFont="true" applyBorder="true" applyAlignment="true" applyProtection="false">
      <alignment horizontal="center" vertical="center" textRotation="0" wrapText="true" indent="0" shrinkToFit="false"/>
      <protection locked="true" hidden="false"/>
    </xf>
    <xf numFmtId="164" fontId="12" fillId="3" borderId="12" xfId="0" applyFont="true" applyBorder="true" applyAlignment="true" applyProtection="false">
      <alignment horizontal="center" vertical="center" textRotation="0" wrapText="true" indent="0" shrinkToFit="false"/>
      <protection locked="true" hidden="false"/>
    </xf>
    <xf numFmtId="173" fontId="10" fillId="2" borderId="3" xfId="0" applyFont="true" applyBorder="true" applyAlignment="true" applyProtection="false">
      <alignment horizontal="center" vertical="center" textRotation="0" wrapText="false" indent="0" shrinkToFit="false"/>
      <protection locked="true" hidden="false"/>
    </xf>
    <xf numFmtId="174" fontId="10" fillId="2" borderId="8"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false" applyAlignment="true" applyProtection="false">
      <alignment horizontal="left" vertical="center" textRotation="0" wrapText="true" indent="0" shrinkToFit="false"/>
      <protection locked="true" hidden="false"/>
    </xf>
    <xf numFmtId="175" fontId="10" fillId="0" borderId="0" xfId="19" applyFont="true" applyBorder="true" applyAlignment="true" applyProtection="true">
      <alignment horizontal="general" vertical="bottom" textRotation="0" wrapText="false" indent="0" shrinkToFit="false"/>
      <protection locked="true" hidden="false"/>
    </xf>
    <xf numFmtId="164" fontId="10" fillId="2" borderId="13" xfId="0" applyFont="true" applyBorder="true" applyAlignment="true" applyProtection="false">
      <alignment horizontal="center" vertical="center" textRotation="0" wrapText="true" indent="0" shrinkToFit="false"/>
      <protection locked="true" hidden="false"/>
    </xf>
    <xf numFmtId="164" fontId="10" fillId="2" borderId="5" xfId="0" applyFont="true" applyBorder="true" applyAlignment="true" applyProtection="false">
      <alignment horizontal="center" vertical="center" textRotation="0" wrapText="true" indent="0" shrinkToFit="false"/>
      <protection locked="true" hidden="false"/>
    </xf>
    <xf numFmtId="164" fontId="10" fillId="5" borderId="8" xfId="0" applyFont="true" applyBorder="true" applyAlignment="true" applyProtection="false">
      <alignment horizontal="center" vertical="center" textRotation="0" wrapText="true" indent="0" shrinkToFit="false"/>
      <protection locked="true" hidden="false"/>
    </xf>
    <xf numFmtId="164" fontId="10" fillId="2" borderId="14" xfId="0" applyFont="true" applyBorder="true" applyAlignment="true" applyProtection="false">
      <alignment horizontal="center" vertical="center" textRotation="0" wrapText="true" indent="0" shrinkToFit="false"/>
      <protection locked="true" hidden="false"/>
    </xf>
    <xf numFmtId="176" fontId="10" fillId="0" borderId="3" xfId="0" applyFont="true" applyBorder="true" applyAlignment="true" applyProtection="false">
      <alignment horizontal="center" vertical="bottom" textRotation="0" wrapText="false" indent="0" shrinkToFit="false"/>
      <protection locked="true" hidden="false"/>
    </xf>
    <xf numFmtId="164" fontId="10" fillId="5" borderId="4" xfId="0" applyFont="true" applyBorder="true" applyAlignment="true" applyProtection="false">
      <alignment horizontal="center" vertical="center" textRotation="0" wrapText="true" indent="0" shrinkToFit="false"/>
      <protection locked="true" hidden="false"/>
    </xf>
    <xf numFmtId="164" fontId="12" fillId="3" borderId="5" xfId="0" applyFont="true" applyBorder="true" applyAlignment="true" applyProtection="false">
      <alignment horizontal="left" vertical="center" textRotation="0" wrapText="false" indent="0" shrinkToFit="false"/>
      <protection locked="true" hidden="false"/>
    </xf>
    <xf numFmtId="164" fontId="12" fillId="3" borderId="6" xfId="0" applyFont="true" applyBorder="true" applyAlignment="true" applyProtection="false">
      <alignment horizontal="left" vertical="center" textRotation="0" wrapText="false" indent="0" shrinkToFit="false"/>
      <protection locked="true" hidden="false"/>
    </xf>
    <xf numFmtId="164" fontId="12" fillId="3" borderId="4" xfId="0" applyFont="true" applyBorder="true" applyAlignment="true" applyProtection="false">
      <alignment horizontal="left" vertical="center" textRotation="0" wrapText="false" indent="0" shrinkToFit="false"/>
      <protection locked="true" hidden="false"/>
    </xf>
    <xf numFmtId="164" fontId="12" fillId="4" borderId="7" xfId="0" applyFont="true" applyBorder="true" applyAlignment="true" applyProtection="false">
      <alignment horizontal="left" vertical="center" textRotation="0" wrapText="false" indent="0" shrinkToFit="false"/>
      <protection locked="true" hidden="false"/>
    </xf>
    <xf numFmtId="164" fontId="10" fillId="4" borderId="8" xfId="0" applyFont="true" applyBorder="true" applyAlignment="true" applyProtection="false">
      <alignment horizontal="center" vertical="center" textRotation="0" wrapText="false" indent="0" shrinkToFit="false"/>
      <protection locked="true" hidden="false"/>
    </xf>
    <xf numFmtId="164" fontId="10" fillId="4" borderId="5" xfId="0" applyFont="true" applyBorder="true" applyAlignment="true" applyProtection="false">
      <alignment horizontal="center" vertical="center" textRotation="0" wrapText="false" indent="0" shrinkToFit="false"/>
      <protection locked="true" hidden="false"/>
    </xf>
    <xf numFmtId="164" fontId="10" fillId="4" borderId="3" xfId="0" applyFont="true" applyBorder="true" applyAlignment="true" applyProtection="false">
      <alignment horizontal="center" vertical="center" textRotation="0" wrapText="false" indent="0" shrinkToFit="false"/>
      <protection locked="true" hidden="false"/>
    </xf>
    <xf numFmtId="164" fontId="12" fillId="3" borderId="7" xfId="0" applyFont="true" applyBorder="true" applyAlignment="true" applyProtection="false">
      <alignment horizontal="left" vertical="center" textRotation="0" wrapText="false" indent="0" shrinkToFit="false"/>
      <protection locked="true" hidden="false"/>
    </xf>
    <xf numFmtId="164" fontId="10" fillId="2" borderId="8" xfId="0" applyFont="true" applyBorder="true" applyAlignment="true" applyProtection="false">
      <alignment horizontal="center" vertical="center" textRotation="0" wrapText="false" indent="0" shrinkToFit="false"/>
      <protection locked="true" hidden="false"/>
    </xf>
    <xf numFmtId="164" fontId="10" fillId="2" borderId="5" xfId="0" applyFont="true" applyBorder="true" applyAlignment="true" applyProtection="false">
      <alignment horizontal="center" vertical="center" textRotation="0" wrapText="false" indent="0" shrinkToFit="false"/>
      <protection locked="true" hidden="false"/>
    </xf>
    <xf numFmtId="164" fontId="10" fillId="2" borderId="7"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false" applyAlignment="true" applyProtection="false">
      <alignment horizontal="left" vertical="center" textRotation="0" wrapText="false" indent="0" shrinkToFit="false"/>
      <protection locked="true" hidden="false"/>
    </xf>
    <xf numFmtId="164" fontId="12" fillId="5" borderId="7" xfId="0" applyFont="true" applyBorder="true" applyAlignment="true" applyProtection="false">
      <alignment horizontal="left" vertical="center" textRotation="0" wrapText="false" indent="0" shrinkToFit="false"/>
      <protection locked="true" hidden="false"/>
    </xf>
    <xf numFmtId="164" fontId="10" fillId="5" borderId="5" xfId="0" applyFont="true" applyBorder="true" applyAlignment="true" applyProtection="false">
      <alignment horizontal="center" vertical="center" textRotation="0" wrapText="false" indent="0" shrinkToFit="false"/>
      <protection locked="true" hidden="false"/>
    </xf>
    <xf numFmtId="164" fontId="10" fillId="5" borderId="3" xfId="0" applyFont="true" applyBorder="true" applyAlignment="true" applyProtection="false">
      <alignment horizontal="center" vertical="center" textRotation="0" wrapText="false" indent="0" shrinkToFit="false"/>
      <protection locked="true" hidden="false"/>
    </xf>
    <xf numFmtId="164" fontId="10" fillId="2" borderId="3" xfId="0" applyFont="true" applyBorder="true" applyAlignment="true" applyProtection="false">
      <alignment horizontal="center" vertical="center" textRotation="0" wrapText="false" indent="0" shrinkToFit="false"/>
      <protection locked="true" hidden="false"/>
    </xf>
    <xf numFmtId="177" fontId="10" fillId="2" borderId="8" xfId="0" applyFont="true" applyBorder="true" applyAlignment="true" applyProtection="false">
      <alignment horizontal="center" vertical="center" textRotation="0" wrapText="true" indent="0" shrinkToFit="false"/>
      <protection locked="true" hidden="false"/>
    </xf>
    <xf numFmtId="164" fontId="12" fillId="6" borderId="11" xfId="0" applyFont="true" applyBorder="true" applyAlignment="true" applyProtection="false">
      <alignment horizontal="center" vertical="center" textRotation="0" wrapText="true" indent="0" shrinkToFit="false"/>
      <protection locked="true" hidden="false"/>
    </xf>
    <xf numFmtId="164" fontId="12" fillId="6" borderId="13" xfId="0" applyFont="true" applyBorder="true" applyAlignment="true" applyProtection="false">
      <alignment horizontal="center" vertical="center" textRotation="0" wrapText="true" indent="0" shrinkToFit="false"/>
      <protection locked="true" hidden="false"/>
    </xf>
    <xf numFmtId="164" fontId="12" fillId="6" borderId="15" xfId="0" applyFont="true" applyBorder="true" applyAlignment="true" applyProtection="false">
      <alignment horizontal="center" vertical="center" textRotation="0" wrapText="true" indent="0" shrinkToFit="false"/>
      <protection locked="true" hidden="false"/>
    </xf>
    <xf numFmtId="164" fontId="12" fillId="6" borderId="16" xfId="0" applyFont="true" applyBorder="true" applyAlignment="true" applyProtection="false">
      <alignment horizontal="center" vertical="center" textRotation="0" wrapText="true" indent="0" shrinkToFit="false"/>
      <protection locked="true" hidden="false"/>
    </xf>
    <xf numFmtId="164" fontId="12" fillId="6" borderId="12" xfId="0" applyFont="true" applyBorder="true" applyAlignment="true" applyProtection="false">
      <alignment horizontal="center" vertical="center" textRotation="0" wrapText="true" indent="0" shrinkToFit="false"/>
      <protection locked="true" hidden="false"/>
    </xf>
    <xf numFmtId="164" fontId="12" fillId="6" borderId="17"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4" fontId="12" fillId="6" borderId="14" xfId="0" applyFont="true" applyBorder="true" applyAlignment="true" applyProtection="false">
      <alignment horizontal="center" vertical="center" textRotation="0" wrapText="true" indent="0" shrinkToFit="false"/>
      <protection locked="true" hidden="false"/>
    </xf>
    <xf numFmtId="164" fontId="12" fillId="6" borderId="10" xfId="0" applyFont="true" applyBorder="true" applyAlignment="true" applyProtection="false">
      <alignment horizontal="center" vertical="center" textRotation="0" wrapText="true" indent="0" shrinkToFit="false"/>
      <protection locked="true" hidden="false"/>
    </xf>
    <xf numFmtId="164" fontId="12" fillId="6" borderId="9" xfId="0" applyFont="true" applyBorder="true" applyAlignment="true" applyProtection="false">
      <alignment horizontal="center" vertical="center" textRotation="0" wrapText="true" indent="0" shrinkToFit="false"/>
      <protection locked="true" hidden="false"/>
    </xf>
    <xf numFmtId="164" fontId="12" fillId="6" borderId="8" xfId="0" applyFont="true" applyBorder="true" applyAlignment="true" applyProtection="false">
      <alignment horizontal="center" vertical="center" textRotation="0" wrapText="true" indent="0" shrinkToFit="false"/>
      <protection locked="true" hidden="false"/>
    </xf>
    <xf numFmtId="164" fontId="0" fillId="6" borderId="10" xfId="0" applyFont="false" applyBorder="true" applyAlignment="true" applyProtection="false">
      <alignment horizontal="general" vertical="top" textRotation="0" wrapText="true" indent="0" shrinkToFit="false"/>
      <protection locked="true" hidden="false"/>
    </xf>
    <xf numFmtId="164" fontId="0" fillId="6" borderId="9" xfId="0" applyFont="false" applyBorder="true" applyAlignment="true" applyProtection="false">
      <alignment horizontal="general" vertical="top" textRotation="0" wrapText="true" indent="0" shrinkToFit="false"/>
      <protection locked="true" hidden="false"/>
    </xf>
    <xf numFmtId="164" fontId="0" fillId="6" borderId="8" xfId="0" applyFont="false" applyBorder="true" applyAlignment="true" applyProtection="false">
      <alignment horizontal="general" vertical="top" textRotation="0" wrapText="true" indent="0" shrinkToFit="false"/>
      <protection locked="true" hidden="false"/>
    </xf>
    <xf numFmtId="164" fontId="12" fillId="6" borderId="7" xfId="0" applyFont="true" applyBorder="true" applyAlignment="true" applyProtection="false">
      <alignment horizontal="center" vertical="center" textRotation="0" wrapText="true" indent="0" shrinkToFit="false"/>
      <protection locked="true" hidden="false"/>
    </xf>
    <xf numFmtId="166" fontId="10" fillId="2" borderId="8"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78" fontId="10" fillId="2" borderId="8" xfId="0" applyFont="true" applyBorder="true" applyAlignment="true" applyProtection="false">
      <alignment horizontal="center" vertical="center" textRotation="0" wrapText="true" indent="0" shrinkToFit="false"/>
      <protection locked="true" hidden="false"/>
    </xf>
    <xf numFmtId="178" fontId="10" fillId="2" borderId="11" xfId="0" applyFont="true" applyBorder="true" applyAlignment="true" applyProtection="false">
      <alignment horizontal="center" vertical="center" textRotation="0" wrapText="true" indent="0" shrinkToFit="false"/>
      <protection locked="true" hidden="false"/>
    </xf>
    <xf numFmtId="164" fontId="14" fillId="2" borderId="17" xfId="0" applyFont="true" applyBorder="true" applyAlignment="true" applyProtection="false">
      <alignment horizontal="general" vertical="center" textRotation="0" wrapText="true" indent="0" shrinkToFit="false"/>
      <protection locked="true" hidden="false"/>
    </xf>
    <xf numFmtId="178" fontId="10" fillId="2" borderId="7" xfId="0" applyFont="true" applyBorder="true" applyAlignment="true" applyProtection="false">
      <alignment horizontal="center" vertical="center" textRotation="0" wrapText="true" indent="0" shrinkToFit="false"/>
      <protection locked="true" hidden="false"/>
    </xf>
    <xf numFmtId="164" fontId="12" fillId="4" borderId="4" xfId="0" applyFont="true" applyBorder="true" applyAlignment="true" applyProtection="false">
      <alignment horizontal="center" vertical="center" textRotation="0" wrapText="true" indent="0" shrinkToFit="false"/>
      <protection locked="true" hidden="false"/>
    </xf>
    <xf numFmtId="176" fontId="10" fillId="3" borderId="3" xfId="0" applyFont="true" applyBorder="true" applyAlignment="true" applyProtection="false">
      <alignment horizontal="center" vertical="bottom" textRotation="0" wrapText="false" indent="0" shrinkToFit="false"/>
      <protection locked="true" hidden="false"/>
    </xf>
    <xf numFmtId="176" fontId="10" fillId="3" borderId="18" xfId="0" applyFont="true" applyBorder="true" applyAlignment="true" applyProtection="false">
      <alignment horizontal="center" vertical="bottom" textRotation="0" wrapText="false" indent="0" shrinkToFit="false"/>
      <protection locked="true" hidden="false"/>
    </xf>
    <xf numFmtId="164" fontId="12" fillId="0" borderId="7" xfId="0" applyFont="true" applyBorder="true" applyAlignment="true" applyProtection="false">
      <alignment horizontal="center" vertical="center" textRotation="0" wrapText="true" indent="0" shrinkToFit="false"/>
      <protection locked="true" hidden="false"/>
    </xf>
    <xf numFmtId="176" fontId="10" fillId="0" borderId="18" xfId="0" applyFont="true" applyBorder="true" applyAlignment="true" applyProtection="false">
      <alignment horizontal="center" vertical="bottom" textRotation="0" wrapText="false" indent="0" shrinkToFit="false"/>
      <protection locked="true" hidden="false"/>
    </xf>
    <xf numFmtId="166" fontId="10" fillId="0" borderId="0" xfId="19" applyFont="true" applyBorder="true" applyAlignment="true" applyProtection="true">
      <alignment horizontal="general" vertical="bottom" textRotation="0" wrapText="false" indent="0" shrinkToFit="false"/>
      <protection locked="true" hidden="false"/>
    </xf>
    <xf numFmtId="164" fontId="15" fillId="2" borderId="15" xfId="0" applyFont="true" applyBorder="true" applyAlignment="true" applyProtection="false">
      <alignment horizontal="left" vertical="center" textRotation="0" wrapText="tru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79" fontId="10" fillId="0" borderId="3" xfId="0" applyFont="true" applyBorder="true" applyAlignment="true" applyProtection="false">
      <alignment horizontal="center" vertical="bottom" textRotation="0" wrapText="false" indent="0" shrinkToFit="false"/>
      <protection locked="true" hidden="false"/>
    </xf>
    <xf numFmtId="164" fontId="15" fillId="2" borderId="15" xfId="0" applyFont="true" applyBorder="true" applyAlignment="true" applyProtection="false">
      <alignment horizontal="general" vertical="center" textRotation="0" wrapText="true" indent="0" shrinkToFit="false"/>
      <protection locked="true" hidden="false"/>
    </xf>
    <xf numFmtId="164" fontId="12" fillId="5" borderId="4" xfId="0" applyFont="true" applyBorder="true" applyAlignment="true" applyProtection="false">
      <alignment horizontal="center" vertical="center" textRotation="0" wrapText="true" indent="0" shrinkToFit="false"/>
      <protection locked="true" hidden="false"/>
    </xf>
    <xf numFmtId="176" fontId="10" fillId="0" borderId="3" xfId="0" applyFont="true" applyBorder="true" applyAlignment="true" applyProtection="false">
      <alignment horizontal="center" vertical="center" textRotation="0" wrapText="false" indent="0" shrinkToFit="false"/>
      <protection locked="true" hidden="false"/>
    </xf>
    <xf numFmtId="164" fontId="12" fillId="2" borderId="12" xfId="0" applyFont="true" applyBorder="true" applyAlignment="true" applyProtection="false">
      <alignment horizontal="center" vertical="center" textRotation="0" wrapText="true" indent="0" shrinkToFit="false"/>
      <protection locked="true" hidden="false"/>
    </xf>
    <xf numFmtId="164" fontId="12" fillId="2" borderId="3" xfId="0" applyFont="true" applyBorder="true" applyAlignment="true" applyProtection="false">
      <alignment horizontal="center" vertical="center" textRotation="0" wrapText="true" indent="0" shrinkToFit="false"/>
      <protection locked="true" hidden="false"/>
    </xf>
    <xf numFmtId="176" fontId="10" fillId="0" borderId="17" xfId="0" applyFont="true" applyBorder="true" applyAlignment="true" applyProtection="false">
      <alignment horizontal="center" vertical="center" textRotation="0" wrapText="false" indent="0" shrinkToFit="false"/>
      <protection locked="true" hidden="false"/>
    </xf>
    <xf numFmtId="164" fontId="15" fillId="2" borderId="15" xfId="0" applyFont="true" applyBorder="true" applyAlignment="true" applyProtection="false">
      <alignment horizontal="left" vertical="center" textRotation="0" wrapText="false" indent="0" shrinkToFit="false"/>
      <protection locked="true" hidden="false"/>
    </xf>
    <xf numFmtId="164" fontId="15" fillId="2" borderId="0" xfId="0" applyFont="true" applyBorder="false" applyAlignment="true" applyProtection="false">
      <alignment horizontal="left"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2" fillId="5" borderId="3" xfId="0" applyFont="true" applyBorder="true" applyAlignment="true" applyProtection="false">
      <alignment horizontal="center" vertical="center" textRotation="0" wrapText="false" indent="0" shrinkToFit="false"/>
      <protection locked="true" hidden="false"/>
    </xf>
    <xf numFmtId="164" fontId="12" fillId="5" borderId="4" xfId="0" applyFont="true" applyBorder="true" applyAlignment="true" applyProtection="false">
      <alignment horizontal="center" vertical="center" textRotation="0" wrapText="false" indent="0" shrinkToFit="false"/>
      <protection locked="true" hidden="false"/>
    </xf>
    <xf numFmtId="164" fontId="12" fillId="2" borderId="7" xfId="0" applyFont="true" applyBorder="true" applyAlignment="true" applyProtection="false">
      <alignment horizontal="center" vertical="center" textRotation="0" wrapText="false" indent="0" shrinkToFit="false"/>
      <protection locked="true" hidden="false"/>
    </xf>
    <xf numFmtId="180" fontId="10" fillId="0" borderId="3"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xf numFmtId="165" fontId="18" fillId="0" borderId="0" xfId="15" applyFont="true" applyBorder="true" applyAlignment="true" applyProtection="true">
      <alignment horizontal="right" vertical="bottom" textRotation="0" wrapText="false" indent="0" shrinkToFit="false"/>
      <protection locked="true" hidden="false"/>
    </xf>
    <xf numFmtId="181" fontId="18" fillId="7" borderId="1" xfId="19" applyFont="true" applyBorder="tru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4" borderId="3"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right" vertical="bottom" textRotation="0" wrapText="false" indent="0" shrinkToFit="false"/>
      <protection locked="true" hidden="false"/>
    </xf>
    <xf numFmtId="164" fontId="18" fillId="7" borderId="19" xfId="0" applyFont="true" applyBorder="true" applyAlignment="true" applyProtection="false">
      <alignment horizontal="center" vertical="bottom" textRotation="0" wrapText="false" indent="0" shrinkToFit="false"/>
      <protection locked="true" hidden="false"/>
    </xf>
    <xf numFmtId="164" fontId="18" fillId="7"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right" vertical="center" textRotation="0" wrapText="false" indent="0" shrinkToFit="false"/>
      <protection locked="true" hidden="false"/>
    </xf>
    <xf numFmtId="164" fontId="20" fillId="0" borderId="1" xfId="0" applyFont="true" applyBorder="true" applyAlignment="true" applyProtection="false">
      <alignment horizontal="right" vertical="bottom" textRotation="0" wrapText="false" indent="0" shrinkToFit="false"/>
      <protection locked="true" hidden="false"/>
    </xf>
    <xf numFmtId="176" fontId="19"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76" fontId="19" fillId="0" borderId="0" xfId="0" applyFont="true" applyBorder="false" applyAlignment="true" applyProtection="false">
      <alignment horizontal="center" vertical="bottom" textRotation="0" wrapText="false" indent="0" shrinkToFit="false"/>
      <protection locked="true" hidden="false"/>
    </xf>
    <xf numFmtId="176" fontId="18" fillId="0" borderId="0" xfId="0" applyFont="true" applyBorder="false" applyAlignment="true" applyProtection="false">
      <alignment horizontal="center" vertical="bottom" textRotation="0" wrapText="false" indent="0" shrinkToFit="false"/>
      <protection locked="true" hidden="false"/>
    </xf>
    <xf numFmtId="175" fontId="0" fillId="0" borderId="0" xfId="19" applyFont="true" applyBorder="tru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76" fontId="18" fillId="0" borderId="20" xfId="0" applyFont="true" applyBorder="true" applyAlignment="true" applyProtection="false">
      <alignment horizontal="center" vertical="bottom" textRotation="0" wrapText="false" indent="0" shrinkToFit="false"/>
      <protection locked="true" hidden="false"/>
    </xf>
    <xf numFmtId="164" fontId="19" fillId="5" borderId="3" xfId="0" applyFont="true" applyBorder="true" applyAlignment="true" applyProtection="false">
      <alignment horizontal="center" vertical="bottom" textRotation="0" wrapText="false" indent="0" shrinkToFit="false"/>
      <protection locked="true" hidden="false"/>
    </xf>
    <xf numFmtId="176" fontId="19" fillId="0" borderId="3" xfId="0" applyFont="true" applyBorder="true" applyAlignment="true" applyProtection="false">
      <alignment horizontal="center" vertical="bottom" textRotation="0" wrapText="tru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82" fontId="18" fillId="7" borderId="1" xfId="0" applyFont="true" applyBorder="true" applyAlignment="true" applyProtection="false">
      <alignment horizontal="center" vertical="bottom" textRotation="0" wrapText="false" indent="0" shrinkToFit="false"/>
      <protection locked="true" hidden="false"/>
    </xf>
    <xf numFmtId="176" fontId="18" fillId="0" borderId="20" xfId="0" applyFont="true" applyBorder="true" applyAlignment="true" applyProtection="false">
      <alignment horizontal="center" vertical="bottom" textRotation="0" wrapText="tru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1" fillId="8" borderId="3" xfId="0" applyFont="true" applyBorder="true" applyAlignment="true" applyProtection="false">
      <alignment horizontal="center" vertical="bottom" textRotation="0" wrapText="false" indent="0" shrinkToFit="false"/>
      <protection locked="true" hidden="false"/>
    </xf>
    <xf numFmtId="165" fontId="0" fillId="0" borderId="0" xfId="15" applyFont="true" applyBorder="true" applyAlignment="true" applyProtection="true">
      <alignment horizontal="right" vertical="bottom" textRotation="0" wrapText="false" indent="0" shrinkToFit="false"/>
      <protection locked="true" hidden="false"/>
    </xf>
    <xf numFmtId="170" fontId="18" fillId="0" borderId="0" xfId="0" applyFont="true" applyBorder="false" applyAlignment="true" applyProtection="false">
      <alignment horizontal="center" vertical="bottom" textRotation="0" wrapText="false" indent="0" shrinkToFit="false"/>
      <protection locked="true" hidden="false"/>
    </xf>
    <xf numFmtId="170" fontId="18" fillId="0" borderId="21" xfId="0" applyFont="true" applyBorder="true" applyAlignment="true" applyProtection="false">
      <alignment horizontal="center" vertical="bottom" textRotation="0" wrapText="false" indent="0" shrinkToFit="false"/>
      <protection locked="true" hidden="false"/>
    </xf>
    <xf numFmtId="175" fontId="18" fillId="7" borderId="1" xfId="19" applyFont="true" applyBorder="true" applyAlignment="true" applyProtection="true">
      <alignment horizontal="center" vertical="bottom" textRotation="0" wrapText="false" indent="0" shrinkToFit="false"/>
      <protection locked="true" hidden="false"/>
    </xf>
    <xf numFmtId="165" fontId="0" fillId="0" borderId="0" xfId="15" applyFont="true" applyBorder="true" applyAlignment="true" applyProtection="true">
      <alignment horizontal="left" vertical="bottom" textRotation="0" wrapText="false" indent="0" shrinkToFit="false"/>
      <protection locked="true" hidden="false"/>
    </xf>
    <xf numFmtId="170" fontId="18" fillId="7" borderId="1" xfId="0" applyFont="true" applyBorder="true" applyAlignment="true" applyProtection="false">
      <alignment horizontal="center" vertical="bottom" textRotation="0" wrapText="false" indent="0" shrinkToFit="false"/>
      <protection locked="true" hidden="false"/>
    </xf>
    <xf numFmtId="170" fontId="18" fillId="0" borderId="1" xfId="0" applyFont="true" applyBorder="true" applyAlignment="true" applyProtection="false">
      <alignment horizontal="center" vertical="bottom" textRotation="0" wrapText="false" indent="0" shrinkToFit="false"/>
      <protection locked="true" hidden="false"/>
    </xf>
    <xf numFmtId="170" fontId="18" fillId="0" borderId="20" xfId="0" applyFont="true" applyBorder="true" applyAlignment="true" applyProtection="false">
      <alignment horizontal="center" vertical="bottom" textRotation="0" wrapText="false" indent="0" shrinkToFit="false"/>
      <protection locked="true" hidden="false"/>
    </xf>
    <xf numFmtId="176" fontId="18" fillId="0" borderId="20" xfId="0" applyFont="true" applyBorder="true" applyAlignment="true" applyProtection="false">
      <alignment horizontal="center" vertical="bottom" textRotation="0" wrapText="tru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83" fontId="0" fillId="0"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7" borderId="3" xfId="0" applyFont="true" applyBorder="true" applyAlignment="true" applyProtection="false">
      <alignment horizontal="center" vertical="bottom" textRotation="0" wrapText="false" indent="0" shrinkToFit="false"/>
      <protection locked="true" hidden="false"/>
    </xf>
    <xf numFmtId="164" fontId="18" fillId="0" borderId="22" xfId="0" applyFont="true" applyBorder="true" applyAlignment="true" applyProtection="false">
      <alignment horizontal="right" vertical="bottom" textRotation="0" wrapText="false" indent="0" shrinkToFit="false"/>
      <protection locked="true" hidden="false"/>
    </xf>
    <xf numFmtId="164" fontId="18" fillId="0" borderId="22" xfId="0" applyFont="true" applyBorder="true" applyAlignment="true" applyProtection="false">
      <alignment horizontal="right" vertical="center" textRotation="0" wrapText="false" indent="0" shrinkToFit="false"/>
      <protection locked="true" hidden="false"/>
    </xf>
    <xf numFmtId="164" fontId="18" fillId="9" borderId="0" xfId="0" applyFont="true" applyBorder="false" applyAlignment="false" applyProtection="false">
      <alignment horizontal="general" vertical="bottom" textRotation="0" wrapText="false" indent="0" shrinkToFit="false"/>
      <protection locked="true" hidden="false"/>
    </xf>
    <xf numFmtId="164" fontId="18" fillId="9" borderId="0" xfId="0" applyFont="true" applyBorder="false" applyAlignment="true" applyProtection="false">
      <alignment horizontal="right" vertical="bottom" textRotation="0" wrapText="false" indent="0" shrinkToFit="false"/>
      <protection locked="true" hidden="false"/>
    </xf>
    <xf numFmtId="164" fontId="18" fillId="0" borderId="9" xfId="0" applyFont="true" applyBorder="true" applyAlignment="false" applyProtection="false">
      <alignment horizontal="general" vertical="bottom" textRotation="0" wrapText="false" indent="0" shrinkToFit="false"/>
      <protection locked="true" hidden="false"/>
    </xf>
    <xf numFmtId="164" fontId="18" fillId="0" borderId="9" xfId="0" applyFont="true" applyBorder="true" applyAlignment="true" applyProtection="false">
      <alignment horizontal="right" vertical="bottom" textRotation="0" wrapText="false" indent="0" shrinkToFit="false"/>
      <protection locked="true" hidden="false"/>
    </xf>
    <xf numFmtId="164" fontId="19" fillId="10" borderId="2" xfId="0" applyFont="true" applyBorder="true" applyAlignment="true" applyProtection="false">
      <alignment horizontal="left" vertical="center" textRotation="0" wrapText="false" indent="0" shrinkToFit="false"/>
      <protection locked="true" hidden="false"/>
    </xf>
    <xf numFmtId="164" fontId="18" fillId="10" borderId="0" xfId="0" applyFont="true" applyBorder="false" applyAlignment="fals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right" vertical="bottom" textRotation="0" wrapText="false" indent="0" shrinkToFit="false"/>
      <protection locked="true" hidden="false"/>
    </xf>
    <xf numFmtId="164" fontId="19" fillId="0" borderId="23"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75" fontId="18" fillId="0" borderId="0" xfId="19" applyFont="true" applyBorder="true" applyAlignment="true" applyProtection="true">
      <alignment horizontal="right" vertical="bottom" textRotation="0" wrapText="false" indent="0" shrinkToFit="false"/>
      <protection locked="true" hidden="false"/>
    </xf>
    <xf numFmtId="165" fontId="18" fillId="0" borderId="0" xfId="15" applyFont="true" applyBorder="true" applyAlignment="true" applyProtection="true">
      <alignment horizontal="general" vertical="bottom" textRotation="0" wrapText="false" indent="0" shrinkToFit="false"/>
      <protection locked="true" hidden="false"/>
    </xf>
    <xf numFmtId="171" fontId="18" fillId="0" borderId="0" xfId="17" applyFont="true" applyBorder="true" applyAlignment="true" applyProtection="true">
      <alignment horizontal="general" vertical="bottom" textRotation="0" wrapText="false" indent="0" shrinkToFit="false"/>
      <protection locked="true" hidden="false"/>
    </xf>
    <xf numFmtId="171" fontId="19" fillId="0" borderId="20" xfId="0" applyFont="true" applyBorder="true" applyAlignment="false" applyProtection="false">
      <alignment horizontal="general" vertical="bottom" textRotation="0" wrapText="false" indent="0" shrinkToFit="false"/>
      <protection locked="true" hidden="false"/>
    </xf>
    <xf numFmtId="167" fontId="18" fillId="0" borderId="0" xfId="15" applyFont="true" applyBorder="true" applyAlignment="true" applyProtection="true">
      <alignment horizontal="right" vertical="bottom" textRotation="0" wrapText="false" indent="0" shrinkToFit="false"/>
      <protection locked="true" hidden="false"/>
    </xf>
    <xf numFmtId="164" fontId="19" fillId="10" borderId="0" xfId="0" applyFont="true" applyBorder="false" applyAlignment="true" applyProtection="false">
      <alignment horizontal="left" vertical="center" textRotation="0" wrapText="true" indent="0" shrinkToFit="false"/>
      <protection locked="true" hidden="false"/>
    </xf>
    <xf numFmtId="164" fontId="19" fillId="11" borderId="24" xfId="0" applyFont="true" applyBorder="true" applyAlignment="true" applyProtection="false">
      <alignment horizontal="center" vertical="bottom" textRotation="0" wrapText="false" indent="0" shrinkToFit="false"/>
      <protection locked="true" hidden="false"/>
    </xf>
    <xf numFmtId="164" fontId="19" fillId="0" borderId="25" xfId="0" applyFont="true" applyBorder="true" applyAlignment="true" applyProtection="false">
      <alignment horizontal="center" vertical="bottom" textRotation="0" wrapText="false" indent="0" shrinkToFit="false"/>
      <protection locked="true" hidden="false"/>
    </xf>
    <xf numFmtId="169" fontId="18" fillId="11" borderId="1" xfId="17" applyFont="true" applyBorder="true" applyAlignment="true" applyProtection="true">
      <alignment horizontal="general" vertical="bottom" textRotation="0" wrapText="false" indent="0" shrinkToFit="false"/>
      <protection locked="true" hidden="false"/>
    </xf>
    <xf numFmtId="167" fontId="18" fillId="0" borderId="0" xfId="15" applyFont="true" applyBorder="true" applyAlignment="true" applyProtection="tru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19" fillId="10" borderId="13" xfId="0" applyFont="true" applyBorder="true" applyAlignment="true" applyProtection="false">
      <alignment horizontal="left" vertical="center" textRotation="0" wrapText="false" indent="0" shrinkToFit="false"/>
      <protection locked="true" hidden="false"/>
    </xf>
    <xf numFmtId="164" fontId="18" fillId="10" borderId="15" xfId="0" applyFont="true" applyBorder="true" applyAlignment="false" applyProtection="false">
      <alignment horizontal="general" vertical="bottom" textRotation="0" wrapText="false" indent="0" shrinkToFit="false"/>
      <protection locked="true" hidden="false"/>
    </xf>
    <xf numFmtId="164" fontId="18" fillId="10" borderId="15" xfId="0" applyFont="true" applyBorder="true" applyAlignment="true" applyProtection="false">
      <alignment horizontal="right" vertical="bottom" textRotation="0" wrapText="false" indent="0" shrinkToFit="false"/>
      <protection locked="true" hidden="false"/>
    </xf>
    <xf numFmtId="164" fontId="19" fillId="11" borderId="26" xfId="0" applyFont="true" applyBorder="true" applyAlignment="true" applyProtection="false">
      <alignment horizontal="center" vertical="bottom" textRotation="0" wrapText="false" indent="0" shrinkToFit="false"/>
      <protection locked="true" hidden="false"/>
    </xf>
    <xf numFmtId="171" fontId="18" fillId="11" borderId="1" xfId="17" applyFont="true" applyBorder="true" applyAlignment="true" applyProtection="true">
      <alignment horizontal="general" vertical="bottom" textRotation="0" wrapText="false" indent="0" shrinkToFit="false"/>
      <protection locked="true" hidden="false"/>
    </xf>
    <xf numFmtId="184" fontId="18" fillId="0" borderId="0" xfId="15" applyFont="true" applyBorder="true" applyAlignment="true" applyProtection="true">
      <alignment horizontal="general" vertical="bottom" textRotation="0" wrapText="false" indent="0" shrinkToFit="false"/>
      <protection locked="true" hidden="false"/>
    </xf>
    <xf numFmtId="165" fontId="18" fillId="0" borderId="0" xfId="0" applyFont="true" applyBorder="false" applyAlignment="true" applyProtection="false">
      <alignment horizontal="right" vertical="bottom" textRotation="0" wrapText="false" indent="0" shrinkToFit="false"/>
      <protection locked="true" hidden="false"/>
    </xf>
    <xf numFmtId="184" fontId="18" fillId="0" borderId="0" xfId="0" applyFont="true" applyBorder="false" applyAlignment="true" applyProtection="false">
      <alignment horizontal="right" vertical="bottom" textRotation="0" wrapText="false" indent="0" shrinkToFit="false"/>
      <protection locked="true" hidden="false"/>
    </xf>
    <xf numFmtId="171" fontId="19" fillId="0" borderId="20" xfId="17" applyFont="true" applyBorder="true" applyAlignment="true" applyProtection="true">
      <alignment horizontal="general" vertical="bottom" textRotation="0" wrapText="false" indent="0" shrinkToFit="false"/>
      <protection locked="true" hidden="false"/>
    </xf>
    <xf numFmtId="164" fontId="19" fillId="10" borderId="10" xfId="0" applyFont="true" applyBorder="true" applyAlignment="true" applyProtection="false">
      <alignment horizontal="left" vertical="center" textRotation="0" wrapText="false" indent="0" shrinkToFit="false"/>
      <protection locked="true" hidden="false"/>
    </xf>
    <xf numFmtId="164" fontId="18" fillId="10" borderId="9" xfId="0" applyFont="true" applyBorder="true" applyAlignment="false" applyProtection="false">
      <alignment horizontal="general" vertical="bottom" textRotation="0" wrapText="false" indent="0" shrinkToFit="false"/>
      <protection locked="true" hidden="false"/>
    </xf>
    <xf numFmtId="164" fontId="18" fillId="10" borderId="9"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19" fillId="10" borderId="0" xfId="0" applyFont="true" applyBorder="fals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5" fontId="22" fillId="0" borderId="20" xfId="15" applyFont="true" applyBorder="true" applyAlignment="true" applyProtection="true">
      <alignment horizontal="right" vertical="bottom" textRotation="0" wrapText="false" indent="0" shrinkToFit="false"/>
      <protection locked="true" hidden="false"/>
    </xf>
    <xf numFmtId="167" fontId="18" fillId="11" borderId="0" xfId="15" applyFont="true" applyBorder="true" applyAlignment="true" applyProtection="true">
      <alignment horizontal="right" vertical="bottom" textRotation="0" wrapText="false" indent="0" shrinkToFit="false"/>
      <protection locked="true" hidden="false"/>
    </xf>
    <xf numFmtId="175" fontId="18" fillId="11" borderId="0" xfId="19" applyFont="true" applyBorder="true" applyAlignment="true" applyProtection="true">
      <alignment horizontal="right" vertical="bottom" textRotation="0" wrapText="false" indent="0" shrinkToFit="false"/>
      <protection locked="true" hidden="false"/>
    </xf>
    <xf numFmtId="184" fontId="18" fillId="11" borderId="21" xfId="0" applyFont="true" applyBorder="true" applyAlignment="true" applyProtection="false">
      <alignment horizontal="right" vertical="bottom" textRotation="0" wrapText="false" indent="0" shrinkToFit="false"/>
      <protection locked="true" hidden="false"/>
    </xf>
    <xf numFmtId="167" fontId="22" fillId="0" borderId="0" xfId="15" applyFont="true" applyBorder="true" applyAlignment="true" applyProtection="true">
      <alignment horizontal="general" vertical="bottom" textRotation="0" wrapText="false" indent="0" shrinkToFit="false"/>
      <protection locked="true" hidden="false"/>
    </xf>
    <xf numFmtId="165" fontId="22" fillId="0" borderId="0" xfId="15" applyFont="true" applyBorder="true" applyAlignment="true" applyProtection="true">
      <alignment horizontal="right"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71" fontId="18" fillId="0" borderId="20" xfId="17" applyFont="true" applyBorder="true" applyAlignment="true" applyProtection="true">
      <alignment horizontal="right" vertical="bottom" textRotation="0" wrapText="false" indent="0" shrinkToFit="false"/>
      <protection locked="true" hidden="false"/>
    </xf>
    <xf numFmtId="165" fontId="18" fillId="0" borderId="21" xfId="15" applyFont="true" applyBorder="true" applyAlignment="true" applyProtection="true">
      <alignment horizontal="right" vertical="bottom" textRotation="0" wrapText="false" indent="0" shrinkToFit="false"/>
      <protection locked="true" hidden="false"/>
    </xf>
    <xf numFmtId="171" fontId="18" fillId="0" borderId="21" xfId="17" applyFont="true" applyBorder="true" applyAlignment="true" applyProtection="true">
      <alignment horizontal="general" vertical="bottom" textRotation="0" wrapText="false" indent="0" shrinkToFit="false"/>
      <protection locked="true" hidden="false"/>
    </xf>
    <xf numFmtId="171" fontId="19" fillId="0" borderId="20" xfId="17" applyFont="true" applyBorder="true" applyAlignment="true" applyProtection="true">
      <alignment horizontal="right" vertical="bottom" textRotation="0" wrapText="false" indent="0" shrinkToFit="false"/>
      <protection locked="true" hidden="false"/>
    </xf>
    <xf numFmtId="167" fontId="18" fillId="0" borderId="21" xfId="15" applyFont="true" applyBorder="true" applyAlignment="true" applyProtection="true">
      <alignment horizontal="general" vertical="bottom" textRotation="0" wrapText="false" indent="0" shrinkToFit="false"/>
      <protection locked="true" hidden="false"/>
    </xf>
    <xf numFmtId="164" fontId="18" fillId="12" borderId="9" xfId="0" applyFont="true" applyBorder="true" applyAlignment="false" applyProtection="false">
      <alignment horizontal="general" vertical="bottom" textRotation="0" wrapText="false" indent="0" shrinkToFit="false"/>
      <protection locked="true" hidden="false"/>
    </xf>
    <xf numFmtId="164" fontId="18" fillId="12" borderId="9"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75" fontId="18" fillId="11" borderId="0" xfId="19" applyFont="true" applyBorder="true" applyAlignment="true" applyProtection="true">
      <alignment horizontal="center" vertical="center" textRotation="0" wrapText="true" indent="0" shrinkToFit="false"/>
      <protection locked="true" hidden="false"/>
    </xf>
    <xf numFmtId="175" fontId="18" fillId="11" borderId="2" xfId="19" applyFont="true" applyBorder="true" applyAlignment="true" applyProtection="true">
      <alignment horizontal="center" vertical="center" textRotation="0" wrapText="tru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4" fontId="18" fillId="11" borderId="24" xfId="0" applyFont="true" applyBorder="true" applyAlignment="true" applyProtection="false">
      <alignment horizontal="left" vertical="center" textRotation="0" wrapText="true" indent="0" shrinkToFit="false"/>
      <protection locked="true" hidden="false"/>
    </xf>
    <xf numFmtId="164" fontId="18" fillId="11" borderId="19" xfId="0" applyFont="true" applyBorder="true" applyAlignment="true" applyProtection="false">
      <alignment horizontal="left" vertical="center" textRotation="0" wrapText="true" indent="0" shrinkToFit="false"/>
      <protection locked="true" hidden="false"/>
    </xf>
    <xf numFmtId="171" fontId="18" fillId="0" borderId="2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76" fontId="18"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5" fontId="18" fillId="0" borderId="22" xfId="15" applyFont="true" applyBorder="true" applyAlignment="true" applyProtection="true">
      <alignment horizontal="right" vertical="bottom" textRotation="0" wrapText="false" indent="0" shrinkToFit="false"/>
      <protection locked="true" hidden="false"/>
    </xf>
    <xf numFmtId="164" fontId="18" fillId="7" borderId="1" xfId="0" applyFont="true" applyBorder="true" applyAlignment="true" applyProtection="false">
      <alignment horizontal="center" vertical="bottom" textRotation="0" wrapText="true" indent="0" shrinkToFit="false"/>
      <protection locked="true" hidden="false"/>
    </xf>
    <xf numFmtId="165" fontId="18" fillId="0" borderId="22" xfId="15" applyFont="true" applyBorder="true" applyAlignment="true" applyProtection="true">
      <alignment horizontal="right" vertical="center" textRotation="0" wrapText="false" indent="0" shrinkToFit="false"/>
      <protection locked="true" hidden="false"/>
    </xf>
    <xf numFmtId="165" fontId="22" fillId="0" borderId="22" xfId="15" applyFont="true" applyBorder="true" applyAlignment="true" applyProtection="true">
      <alignment horizontal="right" vertical="bottom" textRotation="0" wrapText="false" indent="0" shrinkToFit="false"/>
      <protection locked="true" hidden="false"/>
    </xf>
    <xf numFmtId="164" fontId="18" fillId="4"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23" fillId="9" borderId="0" xfId="0" applyFont="true" applyBorder="false" applyAlignment="false" applyProtection="false">
      <alignment horizontal="general" vertical="bottom" textRotation="0" wrapText="false" indent="0" shrinkToFit="false"/>
      <protection locked="true" hidden="false"/>
    </xf>
    <xf numFmtId="164" fontId="19" fillId="10" borderId="0" xfId="0" applyFont="true" applyBorder="false" applyAlignment="false" applyProtection="false">
      <alignment horizontal="general" vertical="bottom" textRotation="0" wrapText="false" indent="0" shrinkToFit="false"/>
      <protection locked="true" hidden="false"/>
    </xf>
    <xf numFmtId="164" fontId="19" fillId="0" borderId="22" xfId="0" applyFont="true" applyBorder="true" applyAlignment="true" applyProtection="false">
      <alignment horizontal="center" vertical="bottom" textRotation="0" wrapText="false" indent="0" shrinkToFit="false"/>
      <protection locked="true" hidden="false"/>
    </xf>
    <xf numFmtId="171" fontId="18" fillId="0" borderId="0" xfId="17" applyFont="true" applyBorder="true" applyAlignment="true" applyProtection="true">
      <alignment horizontal="right"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19" fillId="10" borderId="15"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71" fontId="18" fillId="0" borderId="27" xfId="17" applyFont="true" applyBorder="true" applyAlignment="true" applyProtection="true">
      <alignment horizontal="general" vertical="bottom" textRotation="0" wrapText="false" indent="0" shrinkToFit="false"/>
      <protection locked="true" hidden="false"/>
    </xf>
    <xf numFmtId="164" fontId="19" fillId="11" borderId="2" xfId="0" applyFont="true" applyBorder="true" applyAlignment="true" applyProtection="false">
      <alignment horizontal="center" vertical="bottom" textRotation="0" wrapText="false" indent="0" shrinkToFit="false"/>
      <protection locked="true" hidden="false"/>
    </xf>
    <xf numFmtId="167" fontId="19" fillId="0" borderId="1" xfId="15" applyFont="true" applyBorder="true" applyAlignment="true" applyProtection="true">
      <alignment horizontal="center" vertical="bottom" textRotation="0" wrapText="false" indent="0" shrinkToFit="false"/>
      <protection locked="true" hidden="false"/>
    </xf>
    <xf numFmtId="167" fontId="18" fillId="0" borderId="0" xfId="15" applyFont="true" applyBorder="true" applyAlignment="true" applyProtection="true">
      <alignment horizontal="center"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5" fontId="18" fillId="0" borderId="0" xfId="0" applyFont="true" applyBorder="false" applyAlignment="true" applyProtection="false">
      <alignment horizontal="center" vertical="bottom" textRotation="0" wrapText="false" indent="0" shrinkToFit="false"/>
      <protection locked="true" hidden="false"/>
    </xf>
    <xf numFmtId="167" fontId="18" fillId="0" borderId="0" xfId="0" applyFont="true" applyBorder="false" applyAlignment="true" applyProtection="false">
      <alignment horizontal="right" vertical="bottom" textRotation="0" wrapText="false" indent="0" shrinkToFit="false"/>
      <protection locked="true" hidden="false"/>
    </xf>
    <xf numFmtId="184" fontId="18" fillId="0" borderId="0" xfId="15" applyFont="true" applyBorder="true" applyAlignment="true" applyProtection="true">
      <alignment horizontal="right"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true" indent="0" shrinkToFit="false"/>
      <protection locked="true" hidden="false"/>
    </xf>
    <xf numFmtId="171" fontId="19" fillId="0" borderId="20" xfId="15" applyFont="true" applyBorder="true" applyAlignment="true" applyProtection="true">
      <alignment horizontal="general" vertical="bottom" textRotation="0" wrapText="false" indent="0" shrinkToFit="false"/>
      <protection locked="true" hidden="false"/>
    </xf>
    <xf numFmtId="164" fontId="19" fillId="10" borderId="0" xfId="0" applyFont="true" applyBorder="false" applyAlignment="true" applyProtection="false">
      <alignment horizontal="general" vertical="bottom" textRotation="0" wrapText="true" indent="0" shrinkToFit="false"/>
      <protection locked="true" hidden="false"/>
    </xf>
    <xf numFmtId="169" fontId="18" fillId="0" borderId="0" xfId="17" applyFont="true" applyBorder="true" applyAlignment="true" applyProtection="true">
      <alignment horizontal="general" vertical="bottom" textRotation="0" wrapText="false" indent="0" shrinkToFit="false"/>
      <protection locked="true" hidden="false"/>
    </xf>
    <xf numFmtId="164" fontId="18" fillId="12" borderId="0" xfId="0" applyFont="true" applyBorder="false" applyAlignment="fals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right" vertical="bottom" textRotation="0" wrapText="false" indent="0" shrinkToFit="false"/>
      <protection locked="true" hidden="false"/>
    </xf>
    <xf numFmtId="164" fontId="18" fillId="11" borderId="2" xfId="0" applyFont="true" applyBorder="true" applyAlignment="true" applyProtection="false">
      <alignment horizontal="general" vertical="bottom" textRotation="0" wrapText="true" indent="0" shrinkToFit="false"/>
      <protection locked="true" hidden="false"/>
    </xf>
    <xf numFmtId="164" fontId="18" fillId="11" borderId="24" xfId="0" applyFont="true" applyBorder="true" applyAlignment="true" applyProtection="false">
      <alignment horizontal="general" vertical="bottom" textRotation="0" wrapText="true" indent="0" shrinkToFit="false"/>
      <protection locked="true" hidden="false"/>
    </xf>
    <xf numFmtId="164" fontId="18" fillId="11" borderId="19"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76" fontId="18" fillId="0" borderId="28" xfId="17" applyFont="true" applyBorder="true" applyAlignment="true" applyProtection="true">
      <alignment horizontal="center" vertical="center" textRotation="0" wrapText="false" indent="0" shrinkToFit="false"/>
      <protection locked="true" hidden="false"/>
    </xf>
    <xf numFmtId="167" fontId="18" fillId="0" borderId="0" xfId="15"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9" fillId="13" borderId="3" xfId="0" applyFont="true" applyBorder="true" applyAlignment="true" applyProtection="false">
      <alignment horizontal="center" vertical="bottom" textRotation="0" wrapText="false" indent="0" shrinkToFit="false"/>
      <protection locked="true" hidden="false"/>
    </xf>
    <xf numFmtId="164" fontId="18" fillId="0" borderId="15" xfId="0" applyFont="true" applyBorder="true" applyAlignment="true" applyProtection="false">
      <alignment horizontal="left" vertical="bottom" textRotation="0" wrapText="false" indent="0" shrinkToFit="false"/>
      <protection locked="true" hidden="false"/>
    </xf>
    <xf numFmtId="176" fontId="18" fillId="0" borderId="1" xfId="0" applyFont="true" applyBorder="true" applyAlignment="true" applyProtection="false">
      <alignment horizontal="center" vertical="bottom" textRotation="0" wrapText="false" indent="0" shrinkToFit="false"/>
      <protection locked="true" hidden="false"/>
    </xf>
    <xf numFmtId="176" fontId="22" fillId="3" borderId="1"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76" fontId="22" fillId="0" borderId="1" xfId="0" applyFont="true" applyBorder="true" applyAlignment="true" applyProtection="false">
      <alignment horizontal="center" vertical="bottom" textRotation="0" wrapText="false" indent="0" shrinkToFit="false"/>
      <protection locked="true" hidden="false"/>
    </xf>
    <xf numFmtId="179" fontId="22" fillId="0" borderId="1" xfId="0" applyFont="true" applyBorder="true" applyAlignment="true" applyProtection="false">
      <alignment horizontal="center" vertical="bottom" textRotation="0" wrapText="false" indent="0" shrinkToFit="false"/>
      <protection locked="true" hidden="false"/>
    </xf>
    <xf numFmtId="185" fontId="18" fillId="0"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center" vertical="bottom" textRotation="0" wrapText="false" indent="0" shrinkToFit="false"/>
      <protection locked="true" hidden="false"/>
    </xf>
    <xf numFmtId="176" fontId="18" fillId="14" borderId="1" xfId="17" applyFont="true" applyBorder="true" applyAlignment="true" applyProtection="true">
      <alignment horizontal="center" vertical="center"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6" fontId="18" fillId="14"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76" fontId="22" fillId="3" borderId="1" xfId="0" applyFont="true" applyBorder="true" applyAlignment="true" applyProtection="false">
      <alignment horizontal="center" vertical="center" textRotation="0" wrapText="false" indent="0" shrinkToFit="false"/>
      <protection locked="true" hidden="false"/>
    </xf>
    <xf numFmtId="176" fontId="18" fillId="14" borderId="0" xfId="0" applyFont="true" applyBorder="false" applyAlignment="true" applyProtection="false">
      <alignment horizontal="center"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73" fontId="0" fillId="3" borderId="1"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86" fontId="0" fillId="14" borderId="0" xfId="0" applyFont="false" applyBorder="false" applyAlignment="false" applyProtection="false">
      <alignment horizontal="general" vertical="bottom" textRotation="0" wrapText="false" indent="0" shrinkToFit="false"/>
      <protection locked="true" hidden="false"/>
    </xf>
    <xf numFmtId="182" fontId="0" fillId="0" borderId="0" xfId="0" applyFont="false" applyBorder="false" applyAlignment="false" applyProtection="false">
      <alignment horizontal="general" vertical="bottom" textRotation="0" wrapText="false" indent="0" shrinkToFit="false"/>
      <protection locked="true" hidden="false"/>
    </xf>
    <xf numFmtId="164" fontId="0" fillId="11" borderId="11" xfId="0" applyFont="true" applyBorder="true" applyAlignment="true" applyProtection="false">
      <alignment horizontal="left" vertical="bottom" textRotation="0" wrapText="false" indent="0" shrinkToFit="false"/>
      <protection locked="true" hidden="false"/>
    </xf>
    <xf numFmtId="165" fontId="0" fillId="0" borderId="0" xfId="15" applyFont="true" applyBorder="true" applyAlignment="true" applyProtection="true">
      <alignment horizontal="general" vertical="bottom" textRotation="0" wrapText="false" indent="0" shrinkToFit="false"/>
      <protection locked="true" hidden="false"/>
    </xf>
    <xf numFmtId="167" fontId="25" fillId="0" borderId="0" xfId="15" applyFont="true" applyBorder="true" applyAlignment="true" applyProtection="true">
      <alignment horizontal="general" vertical="bottom" textRotation="0" wrapText="false" indent="0" shrinkToFit="false"/>
      <protection locked="true" hidden="false"/>
    </xf>
    <xf numFmtId="164" fontId="18" fillId="11" borderId="7" xfId="0" applyFont="true" applyBorder="true" applyAlignment="true" applyProtection="false">
      <alignment horizontal="left" vertical="bottom" textRotation="0" wrapText="false" indent="0" shrinkToFit="false"/>
      <protection locked="true" hidden="false"/>
    </xf>
    <xf numFmtId="167" fontId="0" fillId="0" borderId="0" xfId="15" applyFont="true" applyBorder="true" applyAlignment="true" applyProtection="true">
      <alignment horizontal="general" vertical="bottom" textRotation="0" wrapText="false" indent="0" shrinkToFit="false"/>
      <protection locked="true" hidden="false"/>
    </xf>
    <xf numFmtId="167" fontId="0" fillId="0" borderId="20" xfId="15" applyFont="true" applyBorder="true" applyAlignment="true" applyProtection="true">
      <alignment horizontal="general" vertical="bottom" textRotation="0" wrapText="false" indent="0" shrinkToFit="false"/>
      <protection locked="true" hidden="false"/>
    </xf>
    <xf numFmtId="165" fontId="19" fillId="0" borderId="0" xfId="15" applyFont="true" applyBorder="tru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65" fontId="19" fillId="0" borderId="0" xfId="15" applyFont="true" applyBorder="true" applyAlignment="true" applyProtection="true">
      <alignment horizontal="center" vertical="bottom" textRotation="0" wrapText="false" indent="0" shrinkToFit="false"/>
      <protection locked="true" hidden="false"/>
    </xf>
    <xf numFmtId="164" fontId="19" fillId="0" borderId="21" xfId="0" applyFont="true" applyBorder="true" applyAlignment="true" applyProtection="false">
      <alignment horizontal="center" vertical="bottom" textRotation="0" wrapText="false" indent="0" shrinkToFit="false"/>
      <protection locked="true" hidden="false"/>
    </xf>
    <xf numFmtId="181" fontId="18" fillId="7" borderId="1" xfId="19" applyFont="true" applyBorder="true" applyAlignment="true" applyProtection="true">
      <alignment horizontal="center" vertical="bottom" textRotation="0" wrapText="false" indent="0" shrinkToFit="false"/>
      <protection locked="true" hidden="false"/>
    </xf>
    <xf numFmtId="166" fontId="18" fillId="7" borderId="1" xfId="19" applyFont="true" applyBorder="true" applyAlignment="true" applyProtection="true">
      <alignment horizontal="general" vertical="bottom" textRotation="0" wrapText="false" indent="0" shrinkToFit="false"/>
      <protection locked="true" hidden="false"/>
    </xf>
    <xf numFmtId="175" fontId="18" fillId="0" borderId="0" xfId="19" applyFont="true" applyBorder="true" applyAlignment="true" applyProtection="true">
      <alignment horizontal="general" vertical="center" textRotation="0" wrapText="false" indent="0" shrinkToFit="false"/>
      <protection locked="true" hidden="false"/>
    </xf>
    <xf numFmtId="164" fontId="18" fillId="0" borderId="21" xfId="0" applyFont="true" applyBorder="true" applyAlignment="false" applyProtection="false">
      <alignment horizontal="general" vertical="bottom" textRotation="0" wrapText="false" indent="0" shrinkToFit="false"/>
      <protection locked="true" hidden="false"/>
    </xf>
    <xf numFmtId="168" fontId="18" fillId="7" borderId="1" xfId="15" applyFont="true" applyBorder="true" applyAlignment="true" applyProtection="true">
      <alignment horizontal="general" vertical="bottom" textRotation="0" wrapText="false" indent="0" shrinkToFit="false"/>
      <protection locked="true" hidden="false"/>
    </xf>
    <xf numFmtId="168" fontId="18" fillId="0" borderId="0" xfId="15" applyFont="true" applyBorder="true" applyAlignment="true" applyProtection="tru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75" fontId="18" fillId="0" borderId="0" xfId="0" applyFont="true" applyBorder="false" applyAlignment="false" applyProtection="false">
      <alignment horizontal="general" vertical="bottom" textRotation="0" wrapText="false" indent="0" shrinkToFit="false"/>
      <protection locked="true" hidden="false"/>
    </xf>
    <xf numFmtId="168" fontId="18" fillId="0" borderId="20" xfId="15" applyFont="true" applyBorder="true" applyAlignment="true" applyProtection="true">
      <alignment horizontal="general" vertical="bottom" textRotation="0" wrapText="false" indent="0" shrinkToFit="false"/>
      <protection locked="true" hidden="false"/>
    </xf>
    <xf numFmtId="187" fontId="18" fillId="0" borderId="0" xfId="0" applyFont="true" applyBorder="false" applyAlignment="false" applyProtection="false">
      <alignment horizontal="general" vertical="bottom" textRotation="0" wrapText="false" indent="0" shrinkToFit="false"/>
      <protection locked="true" hidden="false"/>
    </xf>
    <xf numFmtId="175" fontId="18" fillId="0" borderId="0" xfId="19" applyFont="true" applyBorder="true" applyAlignment="true" applyProtection="true">
      <alignment horizontal="general" vertical="bottom" textRotation="0" wrapText="false" indent="0" shrinkToFit="false"/>
      <protection locked="true" hidden="false"/>
    </xf>
    <xf numFmtId="165" fontId="18" fillId="0" borderId="0" xfId="15" applyFont="true" applyBorder="true" applyAlignment="true" applyProtection="true">
      <alignment horizontal="left" vertical="bottom" textRotation="0" wrapText="true" indent="0" shrinkToFit="false"/>
      <protection locked="true" hidden="false"/>
    </xf>
    <xf numFmtId="171" fontId="18" fillId="0" borderId="20" xfId="15" applyFont="true" applyBorder="true" applyAlignment="true" applyProtection="true">
      <alignment horizontal="general" vertical="bottom" textRotation="0" wrapText="false" indent="0" shrinkToFit="false"/>
      <protection locked="true" hidden="false"/>
    </xf>
    <xf numFmtId="166" fontId="18" fillId="0" borderId="0" xfId="19" applyFont="true" applyBorder="true" applyAlignment="true" applyProtection="true">
      <alignment horizontal="general" vertical="bottom" textRotation="0" wrapText="false" indent="0" shrinkToFit="false"/>
      <protection locked="true" hidden="false"/>
    </xf>
    <xf numFmtId="188" fontId="18" fillId="0" borderId="0" xfId="15" applyFont="true" applyBorder="true" applyAlignment="true" applyProtection="true">
      <alignment horizontal="center" vertical="bottom" textRotation="0" wrapText="false" indent="0" shrinkToFit="false"/>
      <protection locked="true" hidden="false"/>
    </xf>
    <xf numFmtId="164" fontId="26" fillId="5" borderId="1" xfId="0" applyFont="true" applyBorder="true" applyAlignment="true" applyProtection="false">
      <alignment horizontal="center" vertical="center" textRotation="0" wrapText="true" indent="0" shrinkToFit="false"/>
      <protection locked="true" hidden="false"/>
    </xf>
    <xf numFmtId="164" fontId="27" fillId="5" borderId="1" xfId="0" applyFont="true" applyBorder="true" applyAlignment="true" applyProtection="false">
      <alignment horizontal="center"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27" fillId="15" borderId="1" xfId="0" applyFont="true" applyBorder="true" applyAlignment="true" applyProtection="false">
      <alignment horizontal="center" vertical="center" textRotation="0" wrapText="true" indent="0" shrinkToFit="false"/>
      <protection locked="true" hidden="false"/>
    </xf>
    <xf numFmtId="164" fontId="26" fillId="15"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81" fontId="18" fillId="0" borderId="0" xfId="19" applyFont="true" applyBorder="true" applyAlignment="true" applyProtection="true">
      <alignment horizontal="center" vertical="bottom" textRotation="0" wrapText="false" indent="0" shrinkToFit="false"/>
      <protection locked="true" hidden="false"/>
    </xf>
    <xf numFmtId="189" fontId="18" fillId="0" borderId="0" xfId="0" applyFont="true" applyBorder="false" applyAlignment="false" applyProtection="false">
      <alignment horizontal="general" vertical="bottom" textRotation="0" wrapText="false" indent="0" shrinkToFit="false"/>
      <protection locked="true" hidden="false"/>
    </xf>
    <xf numFmtId="181" fontId="18" fillId="0" borderId="0" xfId="0" applyFont="true" applyBorder="false" applyAlignment="false" applyProtection="false">
      <alignment horizontal="general" vertical="bottom" textRotation="0" wrapText="false" indent="0" shrinkToFit="false"/>
      <protection locked="true" hidden="false"/>
    </xf>
    <xf numFmtId="181" fontId="18" fillId="0" borderId="0" xfId="19" applyFont="true" applyBorder="true" applyAlignment="true" applyProtection="true">
      <alignment horizontal="general" vertical="bottom" textRotation="0" wrapText="false" indent="0" shrinkToFit="false"/>
      <protection locked="true" hidden="false"/>
    </xf>
    <xf numFmtId="168" fontId="22" fillId="15" borderId="0" xfId="0" applyFont="true" applyBorder="false" applyAlignment="true" applyProtection="false">
      <alignment horizontal="right" vertical="center" textRotation="0" wrapText="true" indent="0" shrinkToFit="false"/>
      <protection locked="true" hidden="false"/>
    </xf>
    <xf numFmtId="168" fontId="19" fillId="0" borderId="29"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true" applyAlignment="true" applyProtection="false">
      <alignment horizontal="center" vertical="bottom" textRotation="0" wrapText="false" indent="0" shrinkToFit="false"/>
      <protection locked="true" hidden="false"/>
    </xf>
    <xf numFmtId="165" fontId="18" fillId="0" borderId="0" xfId="0" applyFont="true" applyBorder="false" applyAlignment="true" applyProtection="false">
      <alignment horizontal="center" vertical="bottom" textRotation="0" wrapText="true" indent="0" shrinkToFit="false"/>
      <protection locked="true" hidden="false"/>
    </xf>
    <xf numFmtId="190" fontId="18" fillId="0" borderId="0" xfId="0" applyFont="true" applyBorder="false" applyAlignment="true" applyProtection="false">
      <alignment horizontal="right" vertical="bottom" textRotation="0" wrapText="false" indent="0" shrinkToFit="false"/>
      <protection locked="true" hidden="false"/>
    </xf>
    <xf numFmtId="181" fontId="18" fillId="0" borderId="0" xfId="0" applyFont="true" applyBorder="false" applyAlignment="true" applyProtection="false">
      <alignment horizontal="center"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Comma 10" xfId="20"/>
    <cellStyle name="Percent 10" xfId="21"/>
  </cellStyles>
  <dxfs count="9">
    <dxf>
      <font>
        <name val="Calibri"/>
        <family val="2"/>
        <color rgb="FF000000"/>
        <sz val="11"/>
      </font>
      <fill>
        <patternFill>
          <bgColor rgb="FFE74F3D"/>
        </patternFill>
      </fill>
    </dxf>
    <dxf>
      <font>
        <name val="Calibri"/>
        <family val="2"/>
        <color rgb="FF000000"/>
        <sz val="11"/>
      </font>
      <fill>
        <patternFill>
          <bgColor rgb="FFE74F3D"/>
        </patternFill>
      </fill>
    </dxf>
    <dxf>
      <font>
        <name val="Calibri"/>
        <family val="2"/>
        <color rgb="FF000000"/>
        <sz val="11"/>
      </font>
      <fill>
        <patternFill>
          <bgColor rgb="FFE74F3D"/>
        </patternFill>
      </fill>
    </dxf>
    <dxf>
      <font>
        <name val="Calibri"/>
        <family val="2"/>
        <color rgb="FF000000"/>
        <sz val="11"/>
      </font>
      <fill>
        <patternFill>
          <bgColor rgb="FFE74F3D"/>
        </patternFill>
      </fill>
    </dxf>
    <dxf>
      <font>
        <name val="Calibri"/>
        <family val="2"/>
        <color rgb="FF000000"/>
        <sz val="11"/>
      </font>
      <fill>
        <patternFill>
          <bgColor rgb="FFE74F3D"/>
        </patternFill>
      </fill>
    </dxf>
    <dxf>
      <font>
        <name val="Calibri"/>
        <family val="2"/>
        <color rgb="FF000000"/>
        <sz val="11"/>
      </font>
      <fill>
        <patternFill>
          <bgColor rgb="FFE74F3D"/>
        </patternFill>
      </fill>
    </dxf>
    <dxf>
      <font>
        <name val="Calibri"/>
        <family val="2"/>
        <color rgb="FF000000"/>
        <sz val="11"/>
      </font>
      <fill>
        <patternFill>
          <bgColor rgb="FFE74F3D"/>
        </patternFill>
      </fill>
    </dxf>
    <dxf>
      <font>
        <name val="Calibri"/>
        <family val="2"/>
        <color rgb="FF000000"/>
        <sz val="11"/>
      </font>
      <fill>
        <patternFill>
          <bgColor rgb="FFE74F3D"/>
        </patternFill>
      </fill>
    </dxf>
    <dxf>
      <font>
        <name val="Calibri"/>
        <family val="2"/>
        <color rgb="FF000000"/>
        <sz val="11"/>
      </font>
      <fill>
        <patternFill>
          <bgColor rgb="FFE74F3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487629"/>
      <rgbColor rgb="FF800080"/>
      <rgbColor rgb="FF0082CA"/>
      <rgbColor rgb="FFBFBFBF"/>
      <rgbColor rgb="FF808080"/>
      <rgbColor rgb="FF91B6BB"/>
      <rgbColor rgb="FF993366"/>
      <rgbColor rgb="FFFFFFCC"/>
      <rgbColor rgb="FFCCFFFF"/>
      <rgbColor rgb="FF660066"/>
      <rgbColor rgb="FFFF8080"/>
      <rgbColor rgb="FF006197"/>
      <rgbColor rgb="FFD9D9D9"/>
      <rgbColor rgb="FF000080"/>
      <rgbColor rgb="FFFF00FF"/>
      <rgbColor rgb="FFFFFF00"/>
      <rgbColor rgb="FF00FFFF"/>
      <rgbColor rgb="FF800080"/>
      <rgbColor rgb="FF800000"/>
      <rgbColor rgb="FF008080"/>
      <rgbColor rgb="FF0000FF"/>
      <rgbColor rgb="FF00CCFF"/>
      <rgbColor rgb="FFCCFFFF"/>
      <rgbColor rgb="FFA5D07A"/>
      <rgbColor rgb="FFFFFF99"/>
      <rgbColor rgb="FFB6DCE1"/>
      <rgbColor rgb="FFFF99CC"/>
      <rgbColor rgb="FFCC99FF"/>
      <rgbColor rgb="FFD9D8D6"/>
      <rgbColor rgb="FF3366FF"/>
      <rgbColor rgb="FF54C0E8"/>
      <rgbColor rgb="FF80BC00"/>
      <rgbColor rgb="FFFFCC00"/>
      <rgbColor rgb="FFFF9E18"/>
      <rgbColor rgb="FFE74F3D"/>
      <rgbColor rgb="FF666699"/>
      <rgbColor rgb="FFA7A8A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MISO Prime">
      <a:dk1>
        <a:srgbClr val="000000"/>
      </a:dk1>
      <a:lt1>
        <a:srgbClr val="ffffff"/>
      </a:lt1>
      <a:dk2>
        <a:srgbClr val="0082ca"/>
      </a:dk2>
      <a:lt2>
        <a:srgbClr val="80bc00"/>
      </a:lt2>
      <a:accent1>
        <a:srgbClr val="b2292e"/>
      </a:accent1>
      <a:accent2>
        <a:srgbClr val="ff9e18"/>
      </a:accent2>
      <a:accent3>
        <a:srgbClr val="91b6bb"/>
      </a:accent3>
      <a:accent4>
        <a:srgbClr val="a7a8a9"/>
      </a:accent4>
      <a:accent5>
        <a:srgbClr val="54c0e8"/>
      </a:accent5>
      <a:accent6>
        <a:srgbClr val="e0df00"/>
      </a:accent6>
      <a:hlink>
        <a:srgbClr val="004d7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7A8A9"/>
    <pageSetUpPr fitToPage="fals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2.8" customHeight="true" zeroHeight="false" outlineLevelRow="0" outlineLevelCol="0"/>
  <sheetData>
    <row r="1" customFormat="false" ht="17.35" hidden="false" customHeight="false" outlineLevel="0" collapsed="false">
      <c r="A1" s="1" t="s">
        <v>0</v>
      </c>
      <c r="B1" s="1"/>
      <c r="C1" s="1"/>
      <c r="D1" s="1"/>
      <c r="E1" s="1"/>
      <c r="F1" s="1"/>
      <c r="G1" s="1"/>
      <c r="H1" s="1"/>
      <c r="I1" s="1"/>
    </row>
    <row r="2" customFormat="false" ht="17.35" hidden="false" customHeight="false" outlineLevel="0" collapsed="false">
      <c r="A2" s="2"/>
      <c r="B2" s="2"/>
      <c r="C2" s="2"/>
      <c r="D2" s="2"/>
      <c r="E2" s="2"/>
      <c r="F2" s="2"/>
      <c r="G2" s="2"/>
      <c r="H2" s="2"/>
      <c r="I2" s="2"/>
    </row>
    <row r="3" customFormat="false" ht="13.8" hidden="false" customHeight="true" outlineLevel="0" collapsed="false">
      <c r="A3" s="3" t="s">
        <v>1</v>
      </c>
      <c r="B3" s="3"/>
      <c r="C3" s="3"/>
      <c r="D3" s="3"/>
      <c r="E3" s="3"/>
      <c r="F3" s="3"/>
      <c r="G3" s="3"/>
      <c r="H3" s="3"/>
      <c r="I3" s="3"/>
    </row>
    <row r="4" customFormat="false" ht="13.8" hidden="false" customHeight="false" outlineLevel="0" collapsed="false">
      <c r="A4" s="3"/>
      <c r="B4" s="3"/>
      <c r="C4" s="3"/>
      <c r="D4" s="3"/>
      <c r="E4" s="3"/>
      <c r="F4" s="3"/>
      <c r="G4" s="3"/>
      <c r="H4" s="3"/>
      <c r="I4" s="3"/>
    </row>
    <row r="5" customFormat="false" ht="17.35" hidden="false" customHeight="false" outlineLevel="0" collapsed="false">
      <c r="A5" s="2"/>
      <c r="B5" s="2"/>
      <c r="C5" s="2"/>
      <c r="D5" s="2"/>
      <c r="E5" s="2"/>
      <c r="F5" s="2"/>
      <c r="G5" s="2"/>
      <c r="H5" s="2"/>
      <c r="I5" s="2"/>
    </row>
    <row r="6" customFormat="false" ht="13.8" hidden="false" customHeight="true" outlineLevel="0" collapsed="false">
      <c r="A6" s="3" t="s">
        <v>2</v>
      </c>
      <c r="B6" s="3"/>
      <c r="C6" s="3"/>
      <c r="D6" s="3"/>
      <c r="E6" s="3"/>
      <c r="F6" s="3"/>
      <c r="G6" s="3"/>
      <c r="H6" s="3"/>
      <c r="I6" s="3"/>
    </row>
    <row r="7" customFormat="false" ht="13.8" hidden="false" customHeight="false" outlineLevel="0" collapsed="false">
      <c r="A7" s="3"/>
      <c r="B7" s="3"/>
      <c r="C7" s="3"/>
      <c r="D7" s="3"/>
      <c r="E7" s="3"/>
      <c r="F7" s="3"/>
      <c r="G7" s="3"/>
      <c r="H7" s="3"/>
      <c r="I7" s="3"/>
    </row>
    <row r="8" customFormat="false" ht="13.8" hidden="false" customHeight="false" outlineLevel="0" collapsed="false">
      <c r="A8" s="4"/>
      <c r="B8" s="4"/>
      <c r="C8" s="4"/>
      <c r="D8" s="4"/>
      <c r="E8" s="4"/>
      <c r="F8" s="4"/>
      <c r="G8" s="4"/>
      <c r="H8" s="4"/>
      <c r="I8" s="4"/>
    </row>
    <row r="9" customFormat="false" ht="14.25" hidden="false" customHeight="true" outlineLevel="0" collapsed="false">
      <c r="A9" s="3" t="s">
        <v>3</v>
      </c>
      <c r="B9" s="3"/>
      <c r="C9" s="3"/>
      <c r="D9" s="3"/>
      <c r="E9" s="3"/>
      <c r="F9" s="3"/>
      <c r="G9" s="3"/>
      <c r="H9" s="3"/>
      <c r="I9" s="3"/>
    </row>
    <row r="10" customFormat="false" ht="13.8" hidden="false" customHeight="false" outlineLevel="0" collapsed="false">
      <c r="A10" s="3"/>
      <c r="B10" s="3"/>
      <c r="C10" s="3"/>
      <c r="D10" s="3"/>
      <c r="E10" s="3"/>
      <c r="F10" s="3"/>
      <c r="G10" s="3"/>
      <c r="H10" s="3"/>
      <c r="I10" s="3"/>
    </row>
    <row r="11" customFormat="false" ht="13.8" hidden="false" customHeight="false" outlineLevel="0" collapsed="false">
      <c r="A11" s="4"/>
      <c r="B11" s="4"/>
      <c r="C11" s="4"/>
      <c r="D11" s="4"/>
      <c r="E11" s="4"/>
      <c r="F11" s="4"/>
      <c r="G11" s="4"/>
      <c r="H11" s="4"/>
      <c r="I11" s="4"/>
    </row>
    <row r="12" customFormat="false" ht="13.8" hidden="false" customHeight="true" outlineLevel="0" collapsed="false">
      <c r="A12" s="3" t="s">
        <v>4</v>
      </c>
      <c r="B12" s="3"/>
      <c r="C12" s="3"/>
      <c r="D12" s="3"/>
      <c r="E12" s="3"/>
      <c r="F12" s="3"/>
      <c r="G12" s="3"/>
      <c r="H12" s="3"/>
      <c r="I12" s="3"/>
    </row>
    <row r="13" customFormat="false" ht="13.8" hidden="false" customHeight="false" outlineLevel="0" collapsed="false">
      <c r="A13" s="3"/>
      <c r="B13" s="3"/>
      <c r="C13" s="3"/>
      <c r="D13" s="3"/>
      <c r="E13" s="3"/>
      <c r="F13" s="3"/>
      <c r="G13" s="3"/>
      <c r="H13" s="3"/>
      <c r="I13" s="3"/>
    </row>
    <row r="14" customFormat="false" ht="13.8" hidden="false" customHeight="false" outlineLevel="0" collapsed="false">
      <c r="A14" s="5"/>
      <c r="B14" s="5"/>
      <c r="C14" s="5"/>
      <c r="D14" s="5"/>
      <c r="E14" s="5"/>
      <c r="F14" s="5"/>
      <c r="G14" s="5"/>
      <c r="H14" s="5"/>
      <c r="I14" s="5"/>
    </row>
    <row r="15" customFormat="false" ht="13.8" hidden="false" customHeight="true" outlineLevel="0" collapsed="false">
      <c r="A15" s="3" t="s">
        <v>5</v>
      </c>
      <c r="B15" s="3"/>
      <c r="C15" s="3"/>
      <c r="D15" s="3"/>
      <c r="E15" s="3"/>
      <c r="F15" s="3"/>
      <c r="G15" s="3"/>
      <c r="H15" s="3"/>
      <c r="I15" s="3"/>
    </row>
    <row r="16" customFormat="false" ht="13.8" hidden="false" customHeight="false" outlineLevel="0" collapsed="false">
      <c r="A16" s="3"/>
      <c r="B16" s="3"/>
      <c r="C16" s="3"/>
      <c r="D16" s="3"/>
      <c r="E16" s="3"/>
      <c r="F16" s="3"/>
      <c r="G16" s="3"/>
      <c r="H16" s="3"/>
      <c r="I16" s="3"/>
    </row>
    <row r="17" customFormat="false" ht="13.8" hidden="false" customHeight="false" outlineLevel="0" collapsed="false">
      <c r="A17" s="4"/>
      <c r="B17" s="4"/>
      <c r="C17" s="4"/>
      <c r="D17" s="4"/>
      <c r="E17" s="4"/>
      <c r="F17" s="4"/>
      <c r="G17" s="4"/>
      <c r="H17" s="4"/>
      <c r="I17" s="4"/>
    </row>
    <row r="18" customFormat="false" ht="17.35" hidden="false" customHeight="false" outlineLevel="0" collapsed="false">
      <c r="A18" s="6" t="s">
        <v>6</v>
      </c>
      <c r="B18" s="6"/>
      <c r="C18" s="6"/>
      <c r="D18" s="6"/>
      <c r="E18" s="6"/>
      <c r="F18" s="6"/>
      <c r="G18" s="6"/>
      <c r="H18" s="6"/>
      <c r="I18" s="6"/>
    </row>
    <row r="19" customFormat="false" ht="13.8" hidden="false" customHeight="true" outlineLevel="0" collapsed="false">
      <c r="A19" s="7" t="s">
        <v>7</v>
      </c>
      <c r="B19" s="7"/>
      <c r="C19" s="7"/>
      <c r="D19" s="7"/>
      <c r="E19" s="7"/>
      <c r="F19" s="7"/>
      <c r="G19" s="7"/>
      <c r="H19" s="7"/>
      <c r="I19" s="7"/>
    </row>
    <row r="20" customFormat="false" ht="13.8" hidden="false" customHeight="false" outlineLevel="0" collapsed="false">
      <c r="A20" s="7"/>
      <c r="B20" s="7"/>
      <c r="C20" s="7"/>
      <c r="D20" s="7"/>
      <c r="E20" s="7"/>
      <c r="F20" s="7"/>
      <c r="G20" s="7"/>
      <c r="H20" s="7"/>
      <c r="I20" s="7"/>
    </row>
    <row r="21" customFormat="false" ht="13.8" hidden="false" customHeight="false" outlineLevel="0" collapsed="false">
      <c r="A21" s="7"/>
      <c r="B21" s="7"/>
      <c r="C21" s="7"/>
      <c r="D21" s="7"/>
      <c r="E21" s="7"/>
      <c r="F21" s="7"/>
      <c r="G21" s="7"/>
      <c r="H21" s="7"/>
      <c r="I21" s="7"/>
    </row>
    <row r="22" customFormat="false" ht="13.8" hidden="false" customHeight="false" outlineLevel="0" collapsed="false">
      <c r="A22" s="5"/>
      <c r="B22" s="5"/>
      <c r="C22" s="5"/>
      <c r="D22" s="5"/>
      <c r="E22" s="5"/>
      <c r="F22" s="5"/>
      <c r="G22" s="5"/>
      <c r="H22" s="5"/>
      <c r="I22" s="5"/>
    </row>
    <row r="23" customFormat="false" ht="17.35" hidden="false" customHeight="false" outlineLevel="0" collapsed="false">
      <c r="A23" s="6" t="s">
        <v>8</v>
      </c>
      <c r="B23" s="6"/>
      <c r="C23" s="6"/>
      <c r="D23" s="6"/>
      <c r="E23" s="6"/>
      <c r="F23" s="6"/>
      <c r="G23" s="6"/>
      <c r="H23" s="6"/>
      <c r="I23" s="6"/>
    </row>
    <row r="24" customFormat="false" ht="13.8" hidden="false" customHeight="true" outlineLevel="0" collapsed="false">
      <c r="A24" s="8" t="s">
        <v>9</v>
      </c>
      <c r="B24" s="8"/>
      <c r="C24" s="8"/>
      <c r="D24" s="8"/>
      <c r="E24" s="8"/>
      <c r="F24" s="8"/>
      <c r="G24" s="8"/>
      <c r="H24" s="8"/>
      <c r="I24" s="8"/>
    </row>
    <row r="25" customFormat="false" ht="13.8" hidden="false" customHeight="false" outlineLevel="0" collapsed="false">
      <c r="A25" s="8"/>
      <c r="B25" s="8"/>
      <c r="C25" s="8"/>
      <c r="D25" s="8"/>
      <c r="E25" s="8"/>
      <c r="F25" s="8"/>
      <c r="G25" s="8"/>
      <c r="H25" s="8"/>
      <c r="I25" s="8"/>
    </row>
    <row r="26" customFormat="false" ht="13.8" hidden="false" customHeight="false" outlineLevel="0" collapsed="false">
      <c r="A26" s="8"/>
      <c r="B26" s="8"/>
      <c r="C26" s="8"/>
      <c r="D26" s="8"/>
      <c r="E26" s="8"/>
      <c r="F26" s="8"/>
      <c r="G26" s="8"/>
      <c r="H26" s="8"/>
      <c r="I26" s="8"/>
      <c r="N26" s="0" t="s">
        <v>10</v>
      </c>
    </row>
    <row r="27" customFormat="false" ht="13.8" hidden="false" customHeight="false" outlineLevel="0" collapsed="false">
      <c r="A27" s="8"/>
      <c r="B27" s="8"/>
      <c r="C27" s="8"/>
      <c r="D27" s="8"/>
      <c r="E27" s="8"/>
      <c r="F27" s="8"/>
      <c r="G27" s="8"/>
      <c r="H27" s="8"/>
      <c r="I27" s="8"/>
    </row>
    <row r="28" customFormat="false" ht="13.8" hidden="false" customHeight="false" outlineLevel="0" collapsed="false">
      <c r="A28" s="8"/>
      <c r="B28" s="8"/>
      <c r="C28" s="8"/>
      <c r="D28" s="8"/>
      <c r="E28" s="8"/>
      <c r="F28" s="8"/>
      <c r="G28" s="8"/>
      <c r="H28" s="8"/>
      <c r="I28" s="8"/>
    </row>
    <row r="29" customFormat="false" ht="13.8" hidden="false" customHeight="false" outlineLevel="0" collapsed="false">
      <c r="A29" s="8"/>
      <c r="B29" s="8"/>
      <c r="C29" s="8"/>
      <c r="D29" s="8"/>
      <c r="E29" s="8"/>
      <c r="F29" s="8"/>
      <c r="G29" s="8"/>
      <c r="H29" s="8"/>
      <c r="I29" s="8"/>
    </row>
    <row r="30" customFormat="false" ht="13.8" hidden="false" customHeight="false" outlineLevel="0" collapsed="false">
      <c r="A30" s="8"/>
      <c r="B30" s="8"/>
      <c r="C30" s="8"/>
      <c r="D30" s="8"/>
      <c r="E30" s="8"/>
      <c r="F30" s="8"/>
      <c r="G30" s="8"/>
      <c r="H30" s="8"/>
      <c r="I30" s="8"/>
    </row>
    <row r="31" customFormat="false" ht="13.8" hidden="false" customHeight="false" outlineLevel="0" collapsed="false">
      <c r="A31" s="8"/>
      <c r="B31" s="8"/>
      <c r="C31" s="8"/>
      <c r="D31" s="8"/>
      <c r="E31" s="8"/>
      <c r="F31" s="8"/>
      <c r="G31" s="8"/>
      <c r="H31" s="8"/>
      <c r="I31" s="8"/>
    </row>
    <row r="32" customFormat="false" ht="13.8" hidden="false" customHeight="false" outlineLevel="0" collapsed="false">
      <c r="A32" s="8"/>
      <c r="B32" s="8"/>
      <c r="C32" s="8"/>
      <c r="D32" s="8"/>
      <c r="E32" s="8"/>
      <c r="F32" s="8"/>
      <c r="G32" s="8"/>
      <c r="H32" s="8"/>
      <c r="I32" s="8"/>
    </row>
    <row r="33" customFormat="false" ht="13.8" hidden="false" customHeight="false" outlineLevel="0" collapsed="false">
      <c r="A33" s="8"/>
      <c r="B33" s="8"/>
      <c r="C33" s="8"/>
      <c r="D33" s="8"/>
      <c r="E33" s="8"/>
      <c r="F33" s="8"/>
      <c r="G33" s="8"/>
      <c r="H33" s="8"/>
      <c r="I33" s="8"/>
    </row>
    <row r="34" customFormat="false" ht="13.8" hidden="false" customHeight="false" outlineLevel="0" collapsed="false">
      <c r="A34" s="8"/>
      <c r="B34" s="8"/>
      <c r="C34" s="8"/>
      <c r="D34" s="8"/>
      <c r="E34" s="8"/>
      <c r="F34" s="8"/>
      <c r="G34" s="8"/>
      <c r="H34" s="8"/>
      <c r="I34" s="8"/>
    </row>
  </sheetData>
  <mergeCells count="10">
    <mergeCell ref="A1:I1"/>
    <mergeCell ref="A3:I4"/>
    <mergeCell ref="A6:I7"/>
    <mergeCell ref="A9:I10"/>
    <mergeCell ref="A12:I13"/>
    <mergeCell ref="A15:I16"/>
    <mergeCell ref="A18:I18"/>
    <mergeCell ref="A19:I21"/>
    <mergeCell ref="A23:I23"/>
    <mergeCell ref="A24:I3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0E8"/>
    <pageSetUpPr fitToPage="false"/>
  </sheetPr>
  <dimension ref="A1:V677"/>
  <sheetViews>
    <sheetView showFormulas="false" showGridLines="false" showRowColHeaders="true" showZeros="true" rightToLeft="false" tabSelected="true" showOutlineSymbols="true" defaultGridColor="true" view="normal" topLeftCell="A519" colorId="64" zoomScale="100" zoomScaleNormal="100" zoomScalePageLayoutView="100" workbookViewId="0">
      <selection pane="topLeft" activeCell="B415" activeCellId="0" sqref="B415"/>
    </sheetView>
  </sheetViews>
  <sheetFormatPr defaultColWidth="9.18359375" defaultRowHeight="12" customHeight="true" zeroHeight="false" outlineLevelRow="1" outlineLevelCol="0"/>
  <cols>
    <col collapsed="false" customWidth="true" hidden="false" outlineLevel="0" max="1" min="1" style="9" width="11.45"/>
    <col collapsed="false" customWidth="true" hidden="false" outlineLevel="0" max="2" min="2" style="9" width="25"/>
    <col collapsed="false" customWidth="true" hidden="false" outlineLevel="0" max="5" min="3" style="9" width="18.82"/>
    <col collapsed="false" customWidth="true" hidden="false" outlineLevel="0" max="7" min="6" style="10" width="18.82"/>
    <col collapsed="false" customWidth="true" hidden="false" outlineLevel="0" max="10" min="8" style="9" width="18.82"/>
    <col collapsed="false" customWidth="true" hidden="false" outlineLevel="0" max="11" min="11" style="9" width="1.82"/>
    <col collapsed="false" customWidth="true" hidden="false" outlineLevel="0" max="12" min="12" style="9" width="2.45"/>
    <col collapsed="false" customWidth="true" hidden="false" outlineLevel="0" max="13" min="13" style="9" width="21.18"/>
    <col collapsed="false" customWidth="true" hidden="false" outlineLevel="0" max="15" min="14" style="9" width="11.54"/>
    <col collapsed="false" customWidth="true" hidden="false" outlineLevel="0" max="17" min="16" style="9" width="15.45"/>
    <col collapsed="false" customWidth="true" hidden="false" outlineLevel="0" max="18" min="18" style="9" width="10.45"/>
    <col collapsed="false" customWidth="true" hidden="false" outlineLevel="0" max="19" min="19" style="9" width="12.18"/>
    <col collapsed="false" customWidth="true" hidden="false" outlineLevel="0" max="21" min="20" style="9" width="11.54"/>
    <col collapsed="false" customWidth="true" hidden="false" outlineLevel="0" max="22" min="22" style="9" width="11.45"/>
    <col collapsed="false" customWidth="true" hidden="false" outlineLevel="0" max="23" min="23" style="9" width="11"/>
    <col collapsed="false" customWidth="true" hidden="false" outlineLevel="0" max="24" min="24" style="9" width="12.82"/>
    <col collapsed="false" customWidth="true" hidden="false" outlineLevel="0" max="25" min="25" style="9" width="12.18"/>
    <col collapsed="false" customWidth="true" hidden="false" outlineLevel="0" max="26" min="26" style="9" width="11"/>
    <col collapsed="false" customWidth="false" hidden="false" outlineLevel="0" max="27" min="27" style="9" width="9.18"/>
    <col collapsed="false" customWidth="true" hidden="false" outlineLevel="0" max="31" min="28" style="9" width="12.18"/>
    <col collapsed="false" customWidth="false" hidden="false" outlineLevel="0" max="32" min="32" style="9" width="9.18"/>
    <col collapsed="false" customWidth="true" hidden="false" outlineLevel="0" max="33" min="33" style="9" width="15.54"/>
    <col collapsed="false" customWidth="true" hidden="false" outlineLevel="0" max="36" min="34" style="9" width="14.82"/>
    <col collapsed="false" customWidth="false" hidden="false" outlineLevel="0" max="16384" min="37" style="9" width="9.18"/>
  </cols>
  <sheetData>
    <row r="1" customFormat="false" ht="15" hidden="false" customHeight="false" outlineLevel="0" collapsed="false">
      <c r="B1" s="11"/>
      <c r="F1" s="12" t="s">
        <v>11</v>
      </c>
      <c r="H1" s="13"/>
      <c r="I1" s="14"/>
      <c r="J1" s="14"/>
      <c r="K1" s="14"/>
      <c r="L1" s="14"/>
      <c r="M1" s="14"/>
      <c r="N1" s="14"/>
      <c r="O1" s="14"/>
      <c r="P1" s="14"/>
      <c r="Q1" s="14"/>
      <c r="R1" s="14"/>
      <c r="S1" s="14"/>
      <c r="T1" s="14"/>
      <c r="U1" s="14"/>
      <c r="V1" s="14"/>
    </row>
    <row r="2" customFormat="false" ht="15" hidden="false" customHeight="false" outlineLevel="0" collapsed="false">
      <c r="F2" s="12" t="s">
        <v>12</v>
      </c>
    </row>
    <row r="3" customFormat="false" ht="12.65" hidden="false" customHeight="false" outlineLevel="0" collapsed="false"/>
    <row r="4" customFormat="false" ht="15" hidden="false" customHeight="false" outlineLevel="0" collapsed="false">
      <c r="A4" s="15" t="s">
        <v>13</v>
      </c>
      <c r="B4" s="16"/>
    </row>
    <row r="5" customFormat="false" ht="22" hidden="false" customHeight="false" outlineLevel="1" collapsed="false">
      <c r="B5" s="17" t="s">
        <v>14</v>
      </c>
      <c r="C5" s="18" t="s">
        <v>15</v>
      </c>
      <c r="D5" s="19" t="s">
        <v>16</v>
      </c>
      <c r="E5" s="19" t="s">
        <v>17</v>
      </c>
      <c r="F5" s="19" t="s">
        <v>18</v>
      </c>
      <c r="G5" s="20" t="s">
        <v>19</v>
      </c>
    </row>
    <row r="6" customFormat="false" ht="12.65" hidden="false" customHeight="false" outlineLevel="1" collapsed="false">
      <c r="A6" s="14"/>
      <c r="B6" s="21" t="s">
        <v>20</v>
      </c>
      <c r="C6" s="22" t="n">
        <v>3400.8</v>
      </c>
      <c r="D6" s="22" t="n">
        <v>10202.4</v>
      </c>
      <c r="E6" s="22" t="n">
        <v>17004</v>
      </c>
      <c r="F6" s="22" t="n">
        <v>14817.1534875</v>
      </c>
      <c r="G6" s="22" t="n">
        <v>3086.9069765625</v>
      </c>
    </row>
    <row r="7" customFormat="false" ht="12.65" hidden="false" customHeight="false" outlineLevel="1" collapsed="false">
      <c r="B7" s="21" t="s">
        <v>21</v>
      </c>
      <c r="C7" s="22" t="n">
        <v>4128.8</v>
      </c>
      <c r="D7" s="22" t="n">
        <v>12386.4</v>
      </c>
      <c r="E7" s="22" t="n">
        <v>20644</v>
      </c>
      <c r="F7" s="22" t="n">
        <v>14817.1534875</v>
      </c>
      <c r="G7" s="22" t="n">
        <v>3086.9069765625</v>
      </c>
    </row>
    <row r="8" customFormat="false" ht="12.65" hidden="false" customHeight="false" outlineLevel="1" collapsed="false">
      <c r="B8" s="21" t="s">
        <v>22</v>
      </c>
      <c r="C8" s="22" t="n">
        <v>2776.8</v>
      </c>
      <c r="D8" s="22" t="n">
        <v>8330.4</v>
      </c>
      <c r="E8" s="22" t="n">
        <v>13884</v>
      </c>
      <c r="F8" s="22" t="n">
        <v>14817.1534875</v>
      </c>
      <c r="G8" s="22" t="n">
        <v>3086.9069765625</v>
      </c>
    </row>
    <row r="9" customFormat="false" ht="12.65" hidden="false" customHeight="false" outlineLevel="1" collapsed="false">
      <c r="B9" s="21" t="s">
        <v>23</v>
      </c>
      <c r="C9" s="22" t="n">
        <v>3640</v>
      </c>
      <c r="D9" s="22" t="n">
        <v>10920</v>
      </c>
      <c r="E9" s="22" t="n">
        <v>18200</v>
      </c>
      <c r="F9" s="22" t="n">
        <v>14817.1534875</v>
      </c>
      <c r="G9" s="22" t="n">
        <v>3086.9069765625</v>
      </c>
    </row>
    <row r="10" customFormat="false" ht="12.65" hidden="false" customHeight="false" outlineLevel="1" collapsed="false">
      <c r="B10" s="21" t="s">
        <v>24</v>
      </c>
      <c r="C10" s="22" t="n">
        <v>3920.8</v>
      </c>
      <c r="D10" s="22" t="n">
        <v>11762.4</v>
      </c>
      <c r="E10" s="22" t="n">
        <v>19604</v>
      </c>
      <c r="F10" s="22" t="n">
        <v>14817.1534875</v>
      </c>
      <c r="G10" s="22" t="n">
        <v>3086.9069765625</v>
      </c>
    </row>
    <row r="11" customFormat="false" ht="12.65" hidden="false" customHeight="false" outlineLevel="1" collapsed="false">
      <c r="B11" s="21" t="s">
        <v>25</v>
      </c>
      <c r="C11" s="22" t="n">
        <v>3494.4</v>
      </c>
      <c r="D11" s="22" t="n">
        <v>10483.2</v>
      </c>
      <c r="E11" s="22" t="n">
        <v>17472</v>
      </c>
      <c r="F11" s="22" t="n">
        <v>14817.1534875</v>
      </c>
      <c r="G11" s="22" t="n">
        <v>3086.9069765625</v>
      </c>
    </row>
    <row r="12" customFormat="false" ht="12.65" hidden="false" customHeight="false" outlineLevel="1" collapsed="false">
      <c r="B12" s="21" t="s">
        <v>26</v>
      </c>
      <c r="C12" s="22" t="n">
        <v>3088.8</v>
      </c>
      <c r="D12" s="22" t="n">
        <v>9266.4</v>
      </c>
      <c r="E12" s="22" t="n">
        <v>15444</v>
      </c>
      <c r="F12" s="22" t="n">
        <v>14817.1534875</v>
      </c>
      <c r="G12" s="22" t="n">
        <v>3086.9069765625</v>
      </c>
    </row>
    <row r="13" customFormat="false" ht="12.65" hidden="false" customHeight="false" outlineLevel="1" collapsed="false">
      <c r="B13" s="21" t="s">
        <v>27</v>
      </c>
      <c r="C13" s="22" t="n">
        <v>2298.4</v>
      </c>
      <c r="D13" s="22" t="n">
        <v>6895.2</v>
      </c>
      <c r="E13" s="22" t="n">
        <v>11492</v>
      </c>
      <c r="F13" s="22" t="n">
        <v>14817.1534875</v>
      </c>
      <c r="G13" s="22" t="n">
        <v>10310.2693017188</v>
      </c>
    </row>
    <row r="14" customFormat="false" ht="12.65" hidden="false" customHeight="false" outlineLevel="1" collapsed="false">
      <c r="B14" s="21" t="s">
        <v>28</v>
      </c>
      <c r="C14" s="22" t="n">
        <v>3244.8</v>
      </c>
      <c r="D14" s="22" t="n">
        <v>9734.4</v>
      </c>
      <c r="E14" s="22" t="n">
        <v>16224</v>
      </c>
      <c r="F14" s="22" t="n">
        <v>14817.1534875</v>
      </c>
      <c r="G14" s="22" t="n">
        <v>3086.9069765625</v>
      </c>
    </row>
    <row r="15" customFormat="false" ht="12.65" hidden="false" customHeight="false" outlineLevel="1" collapsed="false">
      <c r="B15" s="21" t="s">
        <v>29</v>
      </c>
      <c r="C15" s="22" t="n">
        <v>2756</v>
      </c>
      <c r="D15" s="22" t="n">
        <v>8268</v>
      </c>
      <c r="E15" s="22" t="n">
        <v>13780</v>
      </c>
      <c r="F15" s="22" t="n">
        <v>14817.1534875</v>
      </c>
      <c r="G15" s="22" t="n">
        <v>3086.9069765625</v>
      </c>
    </row>
    <row r="16" customFormat="false" ht="12.65" hidden="false" customHeight="false" outlineLevel="1" collapsed="false">
      <c r="B16" s="21" t="s">
        <v>30</v>
      </c>
      <c r="C16" s="22" t="n">
        <v>925.6</v>
      </c>
      <c r="D16" s="22" t="n">
        <v>2776.8</v>
      </c>
      <c r="E16" s="22" t="n">
        <v>4628</v>
      </c>
      <c r="F16" s="22" t="n">
        <v>14817.1534875</v>
      </c>
      <c r="G16" s="22" t="n">
        <v>3086.9069765625</v>
      </c>
    </row>
    <row r="17" customFormat="false" ht="12.65" hidden="false" customHeight="false" outlineLevel="1" collapsed="false">
      <c r="B17" s="21" t="s">
        <v>31</v>
      </c>
      <c r="C17" s="22" t="n">
        <v>1092</v>
      </c>
      <c r="D17" s="22" t="n">
        <v>3276</v>
      </c>
      <c r="E17" s="22" t="n">
        <v>5460</v>
      </c>
      <c r="F17" s="22" t="n">
        <v>14817.1534875</v>
      </c>
      <c r="G17" s="22" t="n">
        <v>5155.13465085938</v>
      </c>
    </row>
    <row r="18" customFormat="false" ht="12.65" hidden="false" customHeight="false" outlineLevel="1" collapsed="false">
      <c r="B18" s="21" t="s">
        <v>32</v>
      </c>
      <c r="C18" s="22" t="n">
        <v>1320.8</v>
      </c>
      <c r="D18" s="22" t="n">
        <v>3962.4</v>
      </c>
      <c r="E18" s="22" t="n">
        <v>6604</v>
      </c>
      <c r="F18" s="22" t="n">
        <v>14817.1534875</v>
      </c>
      <c r="G18" s="22" t="n">
        <v>4136.45534859375</v>
      </c>
    </row>
    <row r="19" customFormat="false" ht="12.65" hidden="false" customHeight="false" outlineLevel="1" collapsed="false">
      <c r="B19" s="21" t="s">
        <v>33</v>
      </c>
      <c r="C19" s="22" t="n">
        <v>2288</v>
      </c>
      <c r="D19" s="22" t="n">
        <v>6864</v>
      </c>
      <c r="E19" s="22" t="n">
        <v>11440</v>
      </c>
      <c r="F19" s="22" t="n">
        <v>14817.1534875</v>
      </c>
      <c r="G19" s="22" t="n">
        <v>3086.9069765625</v>
      </c>
    </row>
    <row r="20" customFormat="false" ht="12.65" hidden="false" customHeight="false" outlineLevel="1" collapsed="false">
      <c r="B20" s="21" t="s">
        <v>34</v>
      </c>
      <c r="C20" s="22" t="n">
        <v>3328</v>
      </c>
      <c r="D20" s="22" t="n">
        <v>9984</v>
      </c>
      <c r="E20" s="22" t="n">
        <v>16640</v>
      </c>
      <c r="F20" s="22" t="n">
        <v>14817.1534875</v>
      </c>
      <c r="G20" s="22" t="n">
        <v>10310.2693017188</v>
      </c>
    </row>
    <row r="21" s="9" customFormat="true" ht="12.65" hidden="false" customHeight="false" outlineLevel="0" collapsed="false"/>
    <row r="22" customFormat="false" ht="15" hidden="false" customHeight="false" outlineLevel="0" collapsed="false">
      <c r="A22" s="15" t="s">
        <v>35</v>
      </c>
      <c r="F22" s="23"/>
      <c r="G22" s="23"/>
      <c r="H22" s="23"/>
      <c r="I22" s="23"/>
      <c r="J22" s="23"/>
    </row>
    <row r="23" customFormat="false" ht="12.75" hidden="false" customHeight="false" outlineLevel="1" collapsed="false">
      <c r="A23" s="16"/>
      <c r="B23" s="24" t="s">
        <v>36</v>
      </c>
      <c r="C23" s="25" t="s">
        <v>37</v>
      </c>
      <c r="D23" s="25" t="s">
        <v>38</v>
      </c>
      <c r="E23" s="25" t="s">
        <v>39</v>
      </c>
      <c r="F23" s="25" t="s">
        <v>40</v>
      </c>
      <c r="G23" s="25" t="s">
        <v>41</v>
      </c>
      <c r="H23" s="25" t="s">
        <v>42</v>
      </c>
      <c r="I23" s="25" t="s">
        <v>43</v>
      </c>
      <c r="J23" s="25" t="s">
        <v>44</v>
      </c>
    </row>
    <row r="24" customFormat="false" ht="13.5" hidden="false" customHeight="true" outlineLevel="1" collapsed="false">
      <c r="B24" s="26" t="s">
        <v>45</v>
      </c>
      <c r="C24" s="27"/>
      <c r="D24" s="27"/>
      <c r="E24" s="27"/>
      <c r="F24" s="27"/>
      <c r="G24" s="27"/>
      <c r="H24" s="27"/>
      <c r="I24" s="27"/>
      <c r="J24" s="28"/>
    </row>
    <row r="25" customFormat="false" ht="12.75" hidden="false" customHeight="false" outlineLevel="1" collapsed="false">
      <c r="B25" s="29" t="s">
        <v>46</v>
      </c>
      <c r="C25" s="30" t="n">
        <v>7000</v>
      </c>
      <c r="D25" s="30" t="n">
        <v>7900</v>
      </c>
      <c r="E25" s="30" t="n">
        <v>8400</v>
      </c>
      <c r="F25" s="30" t="n">
        <v>9300</v>
      </c>
      <c r="G25" s="30" t="n">
        <v>11100</v>
      </c>
      <c r="H25" s="30" t="n">
        <v>22300</v>
      </c>
      <c r="I25" s="30" t="n">
        <v>35100</v>
      </c>
      <c r="J25" s="30" t="n">
        <v>52800</v>
      </c>
    </row>
    <row r="26" customFormat="false" ht="13.5" hidden="false" customHeight="true" outlineLevel="1" collapsed="false">
      <c r="B26" s="29" t="s">
        <v>47</v>
      </c>
      <c r="C26" s="30" t="n">
        <v>5.5</v>
      </c>
      <c r="D26" s="30" t="n">
        <v>6</v>
      </c>
      <c r="E26" s="30" t="n">
        <v>8</v>
      </c>
      <c r="F26" s="30" t="n">
        <v>9</v>
      </c>
      <c r="G26" s="30" t="n">
        <v>13</v>
      </c>
      <c r="H26" s="30" t="n">
        <v>21</v>
      </c>
      <c r="I26" s="30" t="n">
        <v>41</v>
      </c>
      <c r="J26" s="30" t="n">
        <v>60</v>
      </c>
    </row>
    <row r="27" customFormat="false" ht="12.75" hidden="false" customHeight="false" outlineLevel="1" collapsed="false">
      <c r="B27" s="29" t="s">
        <v>48</v>
      </c>
      <c r="C27" s="31" t="n">
        <v>19252.10637</v>
      </c>
      <c r="D27" s="31" t="n">
        <v>21727.377189</v>
      </c>
      <c r="E27" s="31" t="n">
        <v>23102.527644</v>
      </c>
      <c r="F27" s="31" t="n">
        <v>25577.798463</v>
      </c>
      <c r="G27" s="31" t="n">
        <v>30528.340101</v>
      </c>
      <c r="H27" s="31" t="n">
        <v>61331.710293</v>
      </c>
      <c r="I27" s="31" t="n">
        <v>96535.561941</v>
      </c>
      <c r="J27" s="31" t="n">
        <v>145217.115860906</v>
      </c>
    </row>
    <row r="28" customFormat="false" ht="12.75" hidden="false" customHeight="false" outlineLevel="1" collapsed="false">
      <c r="B28" s="29" t="s">
        <v>49</v>
      </c>
      <c r="C28" s="31" t="n">
        <v>24927.84527625</v>
      </c>
      <c r="D28" s="31" t="n">
        <v>28132.853954625</v>
      </c>
      <c r="E28" s="31" t="n">
        <v>29913.4143315</v>
      </c>
      <c r="F28" s="31" t="n">
        <v>33118.423009875</v>
      </c>
      <c r="G28" s="31" t="n">
        <v>39528.440366625</v>
      </c>
      <c r="H28" s="31" t="n">
        <v>79412.992808625</v>
      </c>
      <c r="I28" s="31" t="n">
        <v>124677.381246469</v>
      </c>
      <c r="J28" s="31" t="n">
        <v>188026.115940633</v>
      </c>
    </row>
    <row r="29" customFormat="false" ht="12.75" hidden="false" customHeight="false" outlineLevel="1" collapsed="false">
      <c r="B29" s="29" t="s">
        <v>50</v>
      </c>
      <c r="C29" s="31" t="n">
        <v>4973.985914625</v>
      </c>
      <c r="D29" s="31" t="n">
        <v>5802.782792625</v>
      </c>
      <c r="E29" s="31" t="n">
        <v>6218.38587825</v>
      </c>
      <c r="F29" s="31" t="n">
        <v>7047.18275625</v>
      </c>
      <c r="G29" s="31" t="n">
        <v>8289.173426625</v>
      </c>
      <c r="H29" s="31" t="n">
        <v>11091.181476375</v>
      </c>
      <c r="I29" s="31" t="n">
        <v>12142.83798</v>
      </c>
      <c r="J29" s="31" t="n">
        <v>24365.18263725</v>
      </c>
    </row>
    <row r="30" customFormat="false" ht="12.75" hidden="false" customHeight="false" outlineLevel="1" collapsed="false">
      <c r="B30" s="29" t="s">
        <v>51</v>
      </c>
      <c r="C30" s="31" t="n">
        <v>8898.724618875</v>
      </c>
      <c r="D30" s="31" t="n">
        <v>9707.04250425</v>
      </c>
      <c r="E30" s="31" t="n">
        <v>12942.723339</v>
      </c>
      <c r="F30" s="31" t="n">
        <v>14560.563756375</v>
      </c>
      <c r="G30" s="31" t="n">
        <v>21031.925425875</v>
      </c>
      <c r="H30" s="31" t="n">
        <v>33974.648764875</v>
      </c>
      <c r="I30" s="31" t="n">
        <v>66331.457112375</v>
      </c>
      <c r="J30" s="31" t="n">
        <v>97069.220395875</v>
      </c>
    </row>
    <row r="31" customFormat="false" ht="13.5" hidden="false" customHeight="true" outlineLevel="1" collapsed="false">
      <c r="B31" s="26" t="s">
        <v>52</v>
      </c>
      <c r="C31" s="27"/>
      <c r="D31" s="27"/>
      <c r="E31" s="27"/>
      <c r="F31" s="27"/>
      <c r="G31" s="27"/>
      <c r="H31" s="27"/>
      <c r="I31" s="27"/>
      <c r="J31" s="28"/>
    </row>
    <row r="32" customFormat="false" ht="12.75" hidden="false" customHeight="false" outlineLevel="1" collapsed="false">
      <c r="B32" s="29" t="s">
        <v>46</v>
      </c>
      <c r="C32" s="30" t="n">
        <v>11600</v>
      </c>
      <c r="D32" s="30" t="n">
        <v>13000</v>
      </c>
      <c r="E32" s="30" t="n">
        <v>13900</v>
      </c>
      <c r="F32" s="30" t="n">
        <v>15300</v>
      </c>
      <c r="G32" s="30" t="n">
        <v>18300</v>
      </c>
      <c r="H32" s="30" t="n">
        <v>37900</v>
      </c>
      <c r="I32" s="30" t="n">
        <v>59700</v>
      </c>
      <c r="J32" s="30" t="n">
        <v>149000</v>
      </c>
    </row>
    <row r="33" customFormat="false" ht="12.75" hidden="false" customHeight="false" outlineLevel="1" collapsed="false">
      <c r="B33" s="29" t="s">
        <v>47</v>
      </c>
      <c r="C33" s="30" t="n">
        <v>9</v>
      </c>
      <c r="D33" s="30" t="n">
        <v>10.5</v>
      </c>
      <c r="E33" s="30" t="n">
        <v>13</v>
      </c>
      <c r="F33" s="30" t="n">
        <v>14</v>
      </c>
      <c r="G33" s="30" t="n">
        <v>19.5</v>
      </c>
      <c r="H33" s="30" t="n">
        <v>30</v>
      </c>
      <c r="I33" s="30" t="n">
        <v>54.5</v>
      </c>
      <c r="J33" s="30" t="n">
        <v>85</v>
      </c>
    </row>
    <row r="34" customFormat="false" ht="12.75" hidden="false" customHeight="false" outlineLevel="1" collapsed="false">
      <c r="B34" s="29" t="s">
        <v>48</v>
      </c>
      <c r="C34" s="31" t="n">
        <v>31903.490556</v>
      </c>
      <c r="D34" s="31" t="n">
        <v>35753.91183</v>
      </c>
      <c r="E34" s="31" t="n">
        <v>38229.182649</v>
      </c>
      <c r="F34" s="31" t="n">
        <v>42079.603923</v>
      </c>
      <c r="G34" s="31" t="n">
        <v>50330.506653</v>
      </c>
      <c r="H34" s="31" t="n">
        <v>104236.404489</v>
      </c>
      <c r="I34" s="31" t="n">
        <v>164192.964327</v>
      </c>
      <c r="J34" s="31" t="n">
        <v>409798.519028719</v>
      </c>
    </row>
    <row r="35" customFormat="false" ht="12.75" hidden="false" customHeight="false" outlineLevel="1" collapsed="false">
      <c r="B35" s="29" t="s">
        <v>49</v>
      </c>
      <c r="C35" s="31" t="n">
        <v>41309.0007435</v>
      </c>
      <c r="D35" s="31" t="n">
        <v>46294.56979875</v>
      </c>
      <c r="E35" s="31" t="n">
        <v>49499.578477125</v>
      </c>
      <c r="F35" s="31" t="n">
        <v>54485.147532375</v>
      </c>
      <c r="G35" s="31" t="n">
        <v>65168.509793625</v>
      </c>
      <c r="H35" s="31" t="n">
        <v>134966.476567125</v>
      </c>
      <c r="I35" s="31" t="n">
        <v>212598.908998875</v>
      </c>
      <c r="J35" s="31" t="n">
        <v>530603.812736649</v>
      </c>
    </row>
    <row r="36" customFormat="false" ht="12.75" hidden="false" customHeight="false" outlineLevel="1" collapsed="false">
      <c r="B36" s="29" t="s">
        <v>50</v>
      </c>
      <c r="C36" s="31" t="n">
        <v>4973.985914625</v>
      </c>
      <c r="D36" s="31" t="n">
        <v>5802.782792625</v>
      </c>
      <c r="E36" s="31" t="n">
        <v>6218.38587825</v>
      </c>
      <c r="F36" s="31" t="n">
        <v>7047.18275625</v>
      </c>
      <c r="G36" s="31" t="n">
        <v>8289.173426625</v>
      </c>
      <c r="H36" s="31" t="n">
        <v>11091.181476375</v>
      </c>
      <c r="I36" s="31" t="n">
        <v>12142.83798</v>
      </c>
      <c r="J36" s="31" t="n">
        <v>24365.18263725</v>
      </c>
    </row>
    <row r="37" customFormat="false" ht="12.75" hidden="false" customHeight="false" outlineLevel="1" collapsed="false">
      <c r="B37" s="29" t="s">
        <v>51</v>
      </c>
      <c r="C37" s="31" t="n">
        <v>14560.563756375</v>
      </c>
      <c r="D37" s="31" t="n">
        <v>16987.92670575</v>
      </c>
      <c r="E37" s="31" t="n">
        <v>21031.925425875</v>
      </c>
      <c r="F37" s="31" t="n">
        <v>22649.76584325</v>
      </c>
      <c r="G37" s="31" t="n">
        <v>31548.490462125</v>
      </c>
      <c r="H37" s="31" t="n">
        <v>48535.21252125</v>
      </c>
      <c r="I37" s="31" t="n">
        <v>88172.90507025</v>
      </c>
      <c r="J37" s="31" t="n">
        <v>137514.026183625</v>
      </c>
    </row>
    <row r="38" customFormat="false" ht="13.5" hidden="false" customHeight="true" outlineLevel="1" collapsed="false">
      <c r="B38" s="26" t="s">
        <v>53</v>
      </c>
      <c r="C38" s="27"/>
      <c r="D38" s="27"/>
      <c r="E38" s="27"/>
      <c r="F38" s="27"/>
      <c r="G38" s="27"/>
      <c r="H38" s="27"/>
      <c r="I38" s="27"/>
      <c r="J38" s="28"/>
    </row>
    <row r="39" customFormat="false" ht="12.75" hidden="false" customHeight="false" outlineLevel="1" collapsed="false">
      <c r="B39" s="29" t="s">
        <v>46</v>
      </c>
      <c r="C39" s="30" t="n">
        <v>14000</v>
      </c>
      <c r="D39" s="30" t="n">
        <v>15800</v>
      </c>
      <c r="E39" s="30" t="n">
        <v>16800</v>
      </c>
      <c r="F39" s="30" t="n">
        <v>18600</v>
      </c>
      <c r="G39" s="30" t="n">
        <v>22200</v>
      </c>
      <c r="H39" s="30" t="n">
        <v>42400</v>
      </c>
      <c r="I39" s="30" t="n">
        <v>66700</v>
      </c>
      <c r="J39" s="30" t="n">
        <v>154675</v>
      </c>
    </row>
    <row r="40" customFormat="false" ht="12.75" hidden="false" customHeight="false" outlineLevel="1" collapsed="false">
      <c r="B40" s="29" t="s">
        <v>47</v>
      </c>
      <c r="C40" s="30" t="n">
        <v>11</v>
      </c>
      <c r="D40" s="30" t="n">
        <v>12</v>
      </c>
      <c r="E40" s="30" t="n">
        <v>15</v>
      </c>
      <c r="F40" s="30" t="n">
        <v>16.5</v>
      </c>
      <c r="G40" s="30" t="n">
        <v>22.5</v>
      </c>
      <c r="H40" s="30" t="n">
        <v>33.5</v>
      </c>
      <c r="I40" s="30" t="n">
        <v>60</v>
      </c>
      <c r="J40" s="30" t="n">
        <v>160</v>
      </c>
    </row>
    <row r="41" customFormat="false" ht="12.75" hidden="false" customHeight="false" outlineLevel="1" collapsed="false">
      <c r="B41" s="29" t="s">
        <v>48</v>
      </c>
      <c r="C41" s="31" t="n">
        <v>38504.21274</v>
      </c>
      <c r="D41" s="31" t="n">
        <v>43454.754378</v>
      </c>
      <c r="E41" s="31" t="n">
        <v>46205.055288</v>
      </c>
      <c r="F41" s="31" t="n">
        <v>51155.596926</v>
      </c>
      <c r="G41" s="31" t="n">
        <v>61056.680202</v>
      </c>
      <c r="H41" s="31" t="n">
        <v>116612.758584</v>
      </c>
      <c r="I41" s="31" t="n">
        <v>183445.070697</v>
      </c>
      <c r="J41" s="31" t="n">
        <v>425406.476692969</v>
      </c>
    </row>
    <row r="42" customFormat="false" ht="12.75" hidden="false" customHeight="false" outlineLevel="1" collapsed="false">
      <c r="B42" s="29" t="s">
        <v>49</v>
      </c>
      <c r="C42" s="31" t="n">
        <v>49855.6905525</v>
      </c>
      <c r="D42" s="31" t="n">
        <v>56265.70790925</v>
      </c>
      <c r="E42" s="31" t="n">
        <v>59826.828663</v>
      </c>
      <c r="F42" s="31" t="n">
        <v>66236.84601975</v>
      </c>
      <c r="G42" s="31" t="n">
        <v>79056.88073325</v>
      </c>
      <c r="H42" s="31" t="n">
        <v>150991.519959</v>
      </c>
      <c r="I42" s="31" t="n">
        <v>237526.754275125</v>
      </c>
      <c r="J42" s="31" t="n">
        <v>550813.17301418</v>
      </c>
    </row>
    <row r="43" customFormat="false" ht="12.75" hidden="false" customHeight="false" outlineLevel="1" collapsed="false">
      <c r="B43" s="29" t="s">
        <v>50</v>
      </c>
      <c r="C43" s="31" t="n">
        <v>9807.028174125</v>
      </c>
      <c r="D43" s="31" t="n">
        <v>11441.73364425</v>
      </c>
      <c r="E43" s="31" t="n">
        <v>12259.688702625</v>
      </c>
      <c r="F43" s="31" t="n">
        <v>13893.189526125</v>
      </c>
      <c r="G43" s="31" t="n">
        <v>16345.850054625</v>
      </c>
      <c r="H43" s="31" t="n">
        <v>39865.370761125</v>
      </c>
      <c r="I43" s="31" t="n">
        <v>62710.289357625</v>
      </c>
      <c r="J43" s="31" t="n">
        <v>97460.730549</v>
      </c>
    </row>
    <row r="44" customFormat="false" ht="12.75" hidden="false" customHeight="false" outlineLevel="1" collapsed="false">
      <c r="B44" s="29" t="s">
        <v>51</v>
      </c>
      <c r="C44" s="31" t="n">
        <v>17796.244591125</v>
      </c>
      <c r="D44" s="31" t="n">
        <v>19414.0850085</v>
      </c>
      <c r="E44" s="31" t="n">
        <v>24267.606260625</v>
      </c>
      <c r="F44" s="31" t="n">
        <v>26694.96921</v>
      </c>
      <c r="G44" s="31" t="n">
        <v>36402.01171425</v>
      </c>
      <c r="H44" s="31" t="n">
        <v>54198.256305375</v>
      </c>
      <c r="I44" s="31" t="n">
        <v>97070.4250425</v>
      </c>
      <c r="J44" s="31" t="n">
        <v>258850.852840125</v>
      </c>
    </row>
    <row r="45" customFormat="false" ht="13.5" hidden="false" customHeight="true" outlineLevel="1" collapsed="false">
      <c r="B45" s="26" t="s">
        <v>54</v>
      </c>
      <c r="C45" s="27"/>
      <c r="D45" s="27"/>
      <c r="E45" s="27"/>
      <c r="F45" s="27"/>
      <c r="G45" s="27"/>
      <c r="H45" s="27"/>
      <c r="I45" s="27"/>
      <c r="J45" s="28"/>
    </row>
    <row r="46" customFormat="false" ht="12.65" hidden="false" customHeight="false" outlineLevel="1" collapsed="false">
      <c r="B46" s="29" t="s">
        <v>46</v>
      </c>
      <c r="C46" s="30" t="n">
        <v>20400</v>
      </c>
      <c r="D46" s="30" t="n">
        <v>23000</v>
      </c>
      <c r="E46" s="30" t="n">
        <v>24500</v>
      </c>
      <c r="F46" s="30" t="n">
        <v>27100</v>
      </c>
      <c r="G46" s="30" t="n">
        <v>32400</v>
      </c>
      <c r="H46" s="30" t="n">
        <v>48100</v>
      </c>
      <c r="I46" s="30" t="n">
        <v>80700</v>
      </c>
      <c r="J46" s="30" t="n">
        <v>154675</v>
      </c>
    </row>
    <row r="47" customFormat="false" ht="12.65" hidden="false" customHeight="false" outlineLevel="1" collapsed="false">
      <c r="B47" s="29" t="s">
        <v>47</v>
      </c>
      <c r="C47" s="30" t="n">
        <v>15</v>
      </c>
      <c r="D47" s="30" t="n">
        <v>16.5</v>
      </c>
      <c r="E47" s="30" t="n">
        <v>20</v>
      </c>
      <c r="F47" s="30" t="n">
        <v>21.5</v>
      </c>
      <c r="G47" s="30" t="n">
        <v>29</v>
      </c>
      <c r="H47" s="30" t="n">
        <v>41.5</v>
      </c>
      <c r="I47" s="30" t="n">
        <v>72</v>
      </c>
      <c r="J47" s="30" t="n">
        <v>160</v>
      </c>
    </row>
    <row r="48" customFormat="false" ht="12.65" hidden="false" customHeight="false" outlineLevel="1" collapsed="false">
      <c r="B48" s="29" t="s">
        <v>48</v>
      </c>
      <c r="C48" s="31" t="n">
        <v>56106.138564</v>
      </c>
      <c r="D48" s="31" t="n">
        <v>63256.92093</v>
      </c>
      <c r="E48" s="31" t="n">
        <v>67382.372295</v>
      </c>
      <c r="F48" s="31" t="n">
        <v>74533.154661</v>
      </c>
      <c r="G48" s="31" t="n">
        <v>89109.749484</v>
      </c>
      <c r="H48" s="31" t="n">
        <v>132289.473771</v>
      </c>
      <c r="I48" s="31" t="n">
        <v>221949.283437</v>
      </c>
      <c r="J48" s="31" t="n">
        <v>425406.476692969</v>
      </c>
    </row>
    <row r="49" customFormat="false" ht="12.65" hidden="false" customHeight="false" outlineLevel="1" collapsed="false">
      <c r="B49" s="29" t="s">
        <v>49</v>
      </c>
      <c r="C49" s="31" t="n">
        <v>72646.8633765</v>
      </c>
      <c r="D49" s="31" t="n">
        <v>81905.77733625</v>
      </c>
      <c r="E49" s="31" t="n">
        <v>87247.458466875</v>
      </c>
      <c r="F49" s="31" t="n">
        <v>96506.372426625</v>
      </c>
      <c r="G49" s="31" t="n">
        <v>115380.3124215</v>
      </c>
      <c r="H49" s="31" t="n">
        <v>171289.908255375</v>
      </c>
      <c r="I49" s="31" t="n">
        <v>287382.444827625</v>
      </c>
      <c r="J49" s="31" t="n">
        <v>550813.17301418</v>
      </c>
    </row>
    <row r="50" customFormat="false" ht="12.65" hidden="false" customHeight="false" outlineLevel="1" collapsed="false">
      <c r="B50" s="29" t="s">
        <v>50</v>
      </c>
      <c r="C50" s="31" t="n">
        <v>9807.028174125</v>
      </c>
      <c r="D50" s="31" t="n">
        <v>11441.73364425</v>
      </c>
      <c r="E50" s="31" t="n">
        <v>12259.688702625</v>
      </c>
      <c r="F50" s="31" t="n">
        <v>13893.189526125</v>
      </c>
      <c r="G50" s="31" t="n">
        <v>16345.850054625</v>
      </c>
      <c r="H50" s="31" t="n">
        <v>39865.370761125</v>
      </c>
      <c r="I50" s="31" t="n">
        <v>62710.289357625</v>
      </c>
      <c r="J50" s="31" t="n">
        <v>97460.730549</v>
      </c>
    </row>
    <row r="51" customFormat="false" ht="12.65" hidden="false" customHeight="false" outlineLevel="1" collapsed="false">
      <c r="B51" s="29" t="s">
        <v>51</v>
      </c>
      <c r="C51" s="31" t="n">
        <v>24267.606260625</v>
      </c>
      <c r="D51" s="31" t="n">
        <v>26694.96921</v>
      </c>
      <c r="E51" s="31" t="n">
        <v>32356.8083475</v>
      </c>
      <c r="F51" s="31" t="n">
        <v>34784.171296875</v>
      </c>
      <c r="G51" s="31" t="n">
        <v>46917.372103875</v>
      </c>
      <c r="H51" s="31" t="n">
        <v>67140.979644375</v>
      </c>
      <c r="I51" s="31" t="n">
        <v>116484.510051</v>
      </c>
      <c r="J51" s="31" t="n">
        <v>258850.852840125</v>
      </c>
    </row>
    <row r="52" customFormat="false" ht="12.65" hidden="false" customHeight="false" outlineLevel="0" collapsed="false"/>
    <row r="53" customFormat="false" ht="12.65" hidden="false" customHeight="false" outlineLevel="0" collapsed="false"/>
    <row r="54" customFormat="false" ht="15" hidden="false" customHeight="true" outlineLevel="0" collapsed="false">
      <c r="A54" s="15" t="s">
        <v>55</v>
      </c>
      <c r="B54" s="32"/>
      <c r="C54" s="32"/>
      <c r="D54" s="32"/>
      <c r="E54" s="32"/>
      <c r="F54" s="32"/>
      <c r="G54" s="32"/>
      <c r="H54" s="32"/>
      <c r="I54" s="32"/>
      <c r="J54" s="32"/>
    </row>
    <row r="55" customFormat="false" ht="15" hidden="false" customHeight="true" outlineLevel="1" collapsed="false">
      <c r="B55" s="24" t="s">
        <v>36</v>
      </c>
      <c r="C55" s="25" t="s">
        <v>37</v>
      </c>
      <c r="D55" s="25" t="s">
        <v>38</v>
      </c>
      <c r="E55" s="25" t="s">
        <v>39</v>
      </c>
      <c r="F55" s="25" t="s">
        <v>40</v>
      </c>
      <c r="G55" s="25" t="s">
        <v>41</v>
      </c>
      <c r="H55" s="25" t="s">
        <v>42</v>
      </c>
      <c r="I55" s="25" t="s">
        <v>43</v>
      </c>
      <c r="J55" s="25" t="s">
        <v>44</v>
      </c>
    </row>
    <row r="56" customFormat="false" ht="13.5" hidden="false" customHeight="true" outlineLevel="1" collapsed="false">
      <c r="B56" s="26" t="s">
        <v>45</v>
      </c>
      <c r="C56" s="27"/>
      <c r="D56" s="27"/>
      <c r="E56" s="27"/>
      <c r="F56" s="27"/>
      <c r="G56" s="27"/>
      <c r="H56" s="27"/>
      <c r="I56" s="27"/>
      <c r="J56" s="28"/>
    </row>
    <row r="57" customFormat="false" ht="12.75" hidden="false" customHeight="false" outlineLevel="1" collapsed="false">
      <c r="B57" s="29" t="s">
        <v>46</v>
      </c>
      <c r="C57" s="30" t="n">
        <v>6100</v>
      </c>
      <c r="D57" s="30" t="n">
        <v>6900</v>
      </c>
      <c r="E57" s="30" t="n">
        <v>7300</v>
      </c>
      <c r="F57" s="30" t="n">
        <v>8100</v>
      </c>
      <c r="G57" s="30" t="n">
        <v>10100</v>
      </c>
      <c r="H57" s="30" t="n">
        <v>20300</v>
      </c>
      <c r="I57" s="30" t="n">
        <v>27000</v>
      </c>
      <c r="J57" s="30" t="n">
        <v>34320</v>
      </c>
    </row>
    <row r="58" customFormat="false" ht="12.75" hidden="false" customHeight="false" outlineLevel="1" collapsed="false">
      <c r="B58" s="29" t="s">
        <v>47</v>
      </c>
      <c r="C58" s="30" t="n">
        <v>8.5</v>
      </c>
      <c r="D58" s="30" t="n">
        <v>11.5</v>
      </c>
      <c r="E58" s="30" t="n">
        <v>13.5</v>
      </c>
      <c r="F58" s="30" t="n">
        <v>14.5</v>
      </c>
      <c r="G58" s="30" t="n">
        <v>15.5</v>
      </c>
      <c r="H58" s="30" t="n">
        <v>19.5</v>
      </c>
      <c r="I58" s="30" t="n">
        <v>33.5</v>
      </c>
      <c r="J58" s="30" t="n">
        <v>39</v>
      </c>
    </row>
    <row r="59" customFormat="false" ht="12.75" hidden="false" customHeight="false" outlineLevel="1" collapsed="false">
      <c r="B59" s="29" t="s">
        <v>48</v>
      </c>
      <c r="C59" s="31" t="n">
        <v>14005.6618215938</v>
      </c>
      <c r="D59" s="31" t="n">
        <v>15842.4699293438</v>
      </c>
      <c r="E59" s="31" t="n">
        <v>16760.8739832188</v>
      </c>
      <c r="F59" s="31" t="n">
        <v>18597.6820909688</v>
      </c>
      <c r="G59" s="31" t="n">
        <v>23189.7023603438</v>
      </c>
      <c r="H59" s="31" t="n">
        <v>46609.0057341563</v>
      </c>
      <c r="I59" s="31" t="n">
        <v>61992.2736365625</v>
      </c>
      <c r="J59" s="31" t="n">
        <v>94391.8006066875</v>
      </c>
    </row>
    <row r="60" customFormat="false" ht="13.5" hidden="false" customHeight="true" outlineLevel="1" collapsed="false">
      <c r="B60" s="29" t="s">
        <v>49</v>
      </c>
      <c r="C60" s="31" t="n">
        <v>18135.2194099453</v>
      </c>
      <c r="D60" s="31" t="n">
        <v>20513.5393419141</v>
      </c>
      <c r="E60" s="31" t="n">
        <v>21702.6993078984</v>
      </c>
      <c r="F60" s="31" t="n">
        <v>24081.0192398672</v>
      </c>
      <c r="G60" s="31" t="n">
        <v>30026.8190697891</v>
      </c>
      <c r="H60" s="31" t="n">
        <v>60350.3982023906</v>
      </c>
      <c r="I60" s="31" t="n">
        <v>80268.2977039453</v>
      </c>
      <c r="J60" s="31" t="n">
        <v>122216.392439859</v>
      </c>
    </row>
    <row r="61" customFormat="false" ht="12.75" hidden="false" customHeight="false" outlineLevel="1" collapsed="false">
      <c r="B61" s="29" t="s">
        <v>50</v>
      </c>
      <c r="C61" s="31" t="n">
        <v>4973.985914625</v>
      </c>
      <c r="D61" s="31" t="n">
        <v>5802.782792625</v>
      </c>
      <c r="E61" s="31" t="n">
        <v>6218.38587825</v>
      </c>
      <c r="F61" s="31" t="n">
        <v>7047.18275625</v>
      </c>
      <c r="G61" s="31" t="n">
        <v>8289.173426625</v>
      </c>
      <c r="H61" s="31" t="n">
        <v>11091.181476375</v>
      </c>
      <c r="I61" s="31" t="n">
        <v>12142.83798</v>
      </c>
      <c r="J61" s="31" t="n">
        <v>24365.18263725</v>
      </c>
    </row>
    <row r="62" customFormat="false" ht="12.75" hidden="false" customHeight="false" outlineLevel="1" collapsed="false">
      <c r="B62" s="29" t="s">
        <v>51</v>
      </c>
      <c r="C62" s="31" t="n">
        <v>13752.245871</v>
      </c>
      <c r="D62" s="31" t="n">
        <v>18605.767123125</v>
      </c>
      <c r="E62" s="31" t="n">
        <v>21841.447957875</v>
      </c>
      <c r="F62" s="31" t="n">
        <v>23459.28837525</v>
      </c>
      <c r="G62" s="31" t="n">
        <v>25077.128792625</v>
      </c>
      <c r="H62" s="31" t="n">
        <v>31548.490462125</v>
      </c>
      <c r="I62" s="31" t="n">
        <v>54198.256305375</v>
      </c>
      <c r="J62" s="31" t="n">
        <v>63094.571631</v>
      </c>
    </row>
    <row r="63" customFormat="false" ht="13.5" hidden="false" customHeight="true" outlineLevel="1" collapsed="false">
      <c r="B63" s="26" t="s">
        <v>56</v>
      </c>
      <c r="C63" s="27"/>
      <c r="D63" s="27"/>
      <c r="E63" s="27"/>
      <c r="F63" s="27"/>
      <c r="G63" s="27"/>
      <c r="H63" s="27"/>
      <c r="I63" s="27"/>
      <c r="J63" s="28"/>
    </row>
    <row r="64" customFormat="false" ht="12.75" hidden="false" customHeight="false" outlineLevel="1" collapsed="false">
      <c r="B64" s="29" t="s">
        <v>46</v>
      </c>
      <c r="C64" s="30" t="n">
        <v>9200</v>
      </c>
      <c r="D64" s="30" t="n">
        <v>10400</v>
      </c>
      <c r="E64" s="30" t="n">
        <v>11000</v>
      </c>
      <c r="F64" s="30" t="n">
        <v>12200</v>
      </c>
      <c r="G64" s="30" t="n">
        <v>15200</v>
      </c>
      <c r="H64" s="30" t="n">
        <v>30500</v>
      </c>
      <c r="I64" s="30" t="n">
        <v>39800</v>
      </c>
      <c r="J64" s="30" t="n">
        <v>89400</v>
      </c>
    </row>
    <row r="65" customFormat="false" ht="12.75" hidden="false" customHeight="false" outlineLevel="1" collapsed="false">
      <c r="B65" s="29" t="s">
        <v>47</v>
      </c>
      <c r="C65" s="30" t="n">
        <v>16</v>
      </c>
      <c r="D65" s="30" t="n">
        <v>19</v>
      </c>
      <c r="E65" s="30" t="n">
        <v>19.5</v>
      </c>
      <c r="F65" s="30" t="n">
        <v>22</v>
      </c>
      <c r="G65" s="30" t="n">
        <v>24.5</v>
      </c>
      <c r="H65" s="30" t="n">
        <v>39</v>
      </c>
      <c r="I65" s="30" t="n">
        <v>72.5</v>
      </c>
      <c r="J65" s="30" t="n">
        <v>81</v>
      </c>
    </row>
    <row r="66" customFormat="false" ht="12.75" hidden="false" customHeight="false" outlineLevel="1" collapsed="false">
      <c r="B66" s="29" t="s">
        <v>48</v>
      </c>
      <c r="C66" s="31" t="n">
        <v>21123.293239125</v>
      </c>
      <c r="D66" s="31" t="n">
        <v>23878.50540075</v>
      </c>
      <c r="E66" s="31" t="n">
        <v>25256.1114815625</v>
      </c>
      <c r="F66" s="31" t="n">
        <v>28011.3236431875</v>
      </c>
      <c r="G66" s="31" t="n">
        <v>34899.35404725</v>
      </c>
      <c r="H66" s="31" t="n">
        <v>70028.3091079688</v>
      </c>
      <c r="I66" s="31" t="n">
        <v>91381.2033605625</v>
      </c>
      <c r="J66" s="31" t="n">
        <v>245879.356979813</v>
      </c>
    </row>
    <row r="67" customFormat="false" ht="12.75" hidden="false" customHeight="false" outlineLevel="1" collapsed="false">
      <c r="B67" s="29" t="s">
        <v>49</v>
      </c>
      <c r="C67" s="31" t="n">
        <v>27350.6792176406</v>
      </c>
      <c r="D67" s="31" t="n">
        <v>30918.1591155938</v>
      </c>
      <c r="E67" s="31" t="n">
        <v>32701.8990645703</v>
      </c>
      <c r="F67" s="31" t="n">
        <v>36269.3789625234</v>
      </c>
      <c r="G67" s="31" t="n">
        <v>45188.0787074063</v>
      </c>
      <c r="H67" s="31" t="n">
        <v>90673.9773349922</v>
      </c>
      <c r="I67" s="31" t="n">
        <v>118321.416615445</v>
      </c>
      <c r="J67" s="31" t="n">
        <v>318362.075670516</v>
      </c>
    </row>
    <row r="68" customFormat="false" ht="12.75" hidden="false" customHeight="false" outlineLevel="1" collapsed="false">
      <c r="B68" s="29" t="s">
        <v>50</v>
      </c>
      <c r="C68" s="31" t="n">
        <v>4973.985914625</v>
      </c>
      <c r="D68" s="31" t="n">
        <v>5802.782792625</v>
      </c>
      <c r="E68" s="31" t="n">
        <v>6218.38587825</v>
      </c>
      <c r="F68" s="31" t="n">
        <v>7047.18275625</v>
      </c>
      <c r="G68" s="31" t="n">
        <v>8289.173426625</v>
      </c>
      <c r="H68" s="31" t="n">
        <v>11091.181476375</v>
      </c>
      <c r="I68" s="31" t="n">
        <v>12142.83798</v>
      </c>
      <c r="J68" s="31" t="n">
        <v>24365.18263725</v>
      </c>
    </row>
    <row r="69" customFormat="false" ht="12.75" hidden="false" customHeight="false" outlineLevel="1" collapsed="false">
      <c r="B69" s="29" t="s">
        <v>51</v>
      </c>
      <c r="C69" s="31" t="n">
        <v>25885.446678</v>
      </c>
      <c r="D69" s="31" t="n">
        <v>30738.967930125</v>
      </c>
      <c r="E69" s="31" t="n">
        <v>31548.490462125</v>
      </c>
      <c r="F69" s="31" t="n">
        <v>35592.48918225</v>
      </c>
      <c r="G69" s="31" t="n">
        <v>39637.692549</v>
      </c>
      <c r="H69" s="31" t="n">
        <v>63095.776277625</v>
      </c>
      <c r="I69" s="31" t="n">
        <v>117294.032583</v>
      </c>
      <c r="J69" s="31" t="n">
        <v>131042.664514125</v>
      </c>
    </row>
    <row r="70" customFormat="false" ht="13.5" hidden="false" customHeight="true" outlineLevel="1" collapsed="false">
      <c r="B70" s="26" t="s">
        <v>53</v>
      </c>
      <c r="C70" s="27"/>
      <c r="D70" s="27"/>
      <c r="E70" s="27"/>
      <c r="F70" s="27"/>
      <c r="G70" s="27"/>
      <c r="H70" s="27"/>
      <c r="I70" s="27"/>
      <c r="J70" s="28"/>
    </row>
    <row r="71" customFormat="false" ht="12.75" hidden="false" customHeight="false" outlineLevel="1" collapsed="false">
      <c r="B71" s="29" t="s">
        <v>46</v>
      </c>
      <c r="C71" s="30" t="n">
        <v>10400</v>
      </c>
      <c r="D71" s="30" t="n">
        <v>11700</v>
      </c>
      <c r="E71" s="30" t="n">
        <v>12400</v>
      </c>
      <c r="F71" s="30" t="n">
        <v>13800</v>
      </c>
      <c r="G71" s="30" t="n">
        <v>17200</v>
      </c>
      <c r="H71" s="30" t="n">
        <v>34500</v>
      </c>
      <c r="I71" s="30" t="n">
        <v>45900</v>
      </c>
      <c r="J71" s="30" t="n">
        <v>108273</v>
      </c>
    </row>
    <row r="72" customFormat="false" ht="12.75" hidden="false" customHeight="false" outlineLevel="1" collapsed="false">
      <c r="B72" s="29" t="s">
        <v>47</v>
      </c>
      <c r="C72" s="30" t="n">
        <v>21.5</v>
      </c>
      <c r="D72" s="30" t="n">
        <v>25</v>
      </c>
      <c r="E72" s="30" t="n">
        <v>25.5</v>
      </c>
      <c r="F72" s="30" t="n">
        <v>28.5</v>
      </c>
      <c r="G72" s="30" t="n">
        <v>34</v>
      </c>
      <c r="H72" s="30" t="n">
        <v>48.5</v>
      </c>
      <c r="I72" s="30" t="n">
        <v>96</v>
      </c>
      <c r="J72" s="30" t="n">
        <v>180</v>
      </c>
    </row>
    <row r="73" customFormat="false" ht="12.75" hidden="false" customHeight="false" outlineLevel="1" collapsed="false">
      <c r="B73" s="29" t="s">
        <v>48</v>
      </c>
      <c r="C73" s="31" t="n">
        <v>23878.50540075</v>
      </c>
      <c r="D73" s="31" t="n">
        <v>26863.3185758438</v>
      </c>
      <c r="E73" s="31" t="n">
        <v>28470.525670125</v>
      </c>
      <c r="F73" s="31" t="n">
        <v>31684.9398586875</v>
      </c>
      <c r="G73" s="31" t="n">
        <v>39491.374316625</v>
      </c>
      <c r="H73" s="31" t="n">
        <v>79212.3496467188</v>
      </c>
      <c r="I73" s="31" t="n">
        <v>105386.865182156</v>
      </c>
      <c r="J73" s="31" t="n">
        <v>297785.147591531</v>
      </c>
    </row>
    <row r="74" customFormat="false" ht="12.75" hidden="false" customHeight="false" outlineLevel="1" collapsed="false">
      <c r="B74" s="29" t="s">
        <v>49</v>
      </c>
      <c r="C74" s="31" t="n">
        <v>30918.1591155938</v>
      </c>
      <c r="D74" s="31" t="n">
        <v>34783.4589337266</v>
      </c>
      <c r="E74" s="31" t="n">
        <v>36863.9589455156</v>
      </c>
      <c r="F74" s="31" t="n">
        <v>41026.0188264609</v>
      </c>
      <c r="G74" s="31" t="n">
        <v>51133.8785373281</v>
      </c>
      <c r="H74" s="31" t="n">
        <v>102565.576994836</v>
      </c>
      <c r="I74" s="31" t="n">
        <v>136456.636025391</v>
      </c>
      <c r="J74" s="31" t="n">
        <v>385568.691181242</v>
      </c>
    </row>
    <row r="75" customFormat="false" ht="12.75" hidden="false" customHeight="false" outlineLevel="1" collapsed="false">
      <c r="B75" s="29" t="s">
        <v>50</v>
      </c>
      <c r="C75" s="31" t="n">
        <v>9807.028174125</v>
      </c>
      <c r="D75" s="31" t="n">
        <v>11441.73364425</v>
      </c>
      <c r="E75" s="31" t="n">
        <v>12259.688702625</v>
      </c>
      <c r="F75" s="31" t="n">
        <v>13893.189526125</v>
      </c>
      <c r="G75" s="31" t="n">
        <v>16345.850054625</v>
      </c>
      <c r="H75" s="31" t="n">
        <v>39865.370761125</v>
      </c>
      <c r="I75" s="31" t="n">
        <v>62710.289357625</v>
      </c>
      <c r="J75" s="31" t="n">
        <v>24365.18263725</v>
      </c>
    </row>
    <row r="76" customFormat="false" ht="12.75" hidden="false" customHeight="false" outlineLevel="1" collapsed="false">
      <c r="B76" s="29" t="s">
        <v>51</v>
      </c>
      <c r="C76" s="31" t="n">
        <v>34784.171296875</v>
      </c>
      <c r="D76" s="31" t="n">
        <v>40446.010434375</v>
      </c>
      <c r="E76" s="31" t="n">
        <v>41255.532966375</v>
      </c>
      <c r="F76" s="31" t="n">
        <v>46109.0542185</v>
      </c>
      <c r="G76" s="31" t="n">
        <v>55006.57419075</v>
      </c>
      <c r="H76" s="31" t="n">
        <v>78465.862566</v>
      </c>
      <c r="I76" s="31" t="n">
        <v>155312.680068</v>
      </c>
      <c r="J76" s="31" t="n">
        <v>258850.852840125</v>
      </c>
    </row>
    <row r="77" customFormat="false" ht="13.5" hidden="false" customHeight="true" outlineLevel="1" collapsed="false">
      <c r="B77" s="26" t="s">
        <v>54</v>
      </c>
      <c r="C77" s="27"/>
      <c r="D77" s="27"/>
      <c r="E77" s="27"/>
      <c r="F77" s="27"/>
      <c r="G77" s="27"/>
      <c r="H77" s="27"/>
      <c r="I77" s="27"/>
      <c r="J77" s="28"/>
    </row>
    <row r="78" customFormat="false" ht="12.65" hidden="false" customHeight="false" outlineLevel="1" collapsed="false">
      <c r="B78" s="29" t="s">
        <v>46</v>
      </c>
      <c r="C78" s="30" t="n">
        <v>13400</v>
      </c>
      <c r="D78" s="30" t="n">
        <v>15200</v>
      </c>
      <c r="E78" s="30" t="n">
        <v>16100</v>
      </c>
      <c r="F78" s="30" t="n">
        <v>17800</v>
      </c>
      <c r="G78" s="30" t="n">
        <v>22200</v>
      </c>
      <c r="H78" s="30" t="n">
        <v>44700</v>
      </c>
      <c r="I78" s="30" t="n">
        <v>59400</v>
      </c>
      <c r="J78" s="30" t="n">
        <v>108273</v>
      </c>
    </row>
    <row r="79" customFormat="false" ht="12.65" hidden="false" customHeight="false" outlineLevel="1" collapsed="false">
      <c r="B79" s="29" t="s">
        <v>47</v>
      </c>
      <c r="C79" s="30" t="n">
        <v>33.5</v>
      </c>
      <c r="D79" s="30" t="n">
        <v>38</v>
      </c>
      <c r="E79" s="30" t="n">
        <v>39</v>
      </c>
      <c r="F79" s="30" t="n">
        <v>43</v>
      </c>
      <c r="G79" s="30" t="n">
        <v>52</v>
      </c>
      <c r="H79" s="30" t="n">
        <v>90</v>
      </c>
      <c r="I79" s="30" t="n">
        <v>176</v>
      </c>
      <c r="J79" s="30" t="n">
        <v>180</v>
      </c>
    </row>
    <row r="80" customFormat="false" ht="12.65" hidden="false" customHeight="false" outlineLevel="1" collapsed="false">
      <c r="B80" s="29" t="s">
        <v>48</v>
      </c>
      <c r="C80" s="31" t="n">
        <v>30766.5358048125</v>
      </c>
      <c r="D80" s="31" t="n">
        <v>34899.35404725</v>
      </c>
      <c r="E80" s="31" t="n">
        <v>36965.7631684688</v>
      </c>
      <c r="F80" s="31" t="n">
        <v>40868.9803974375</v>
      </c>
      <c r="G80" s="31" t="n">
        <v>50971.4249900625</v>
      </c>
      <c r="H80" s="31" t="n">
        <v>102631.653020531</v>
      </c>
      <c r="I80" s="31" t="n">
        <v>136383.002000438</v>
      </c>
      <c r="J80" s="31" t="n">
        <v>297785.147591531</v>
      </c>
    </row>
    <row r="81" customFormat="false" ht="12.65" hidden="false" customHeight="false" outlineLevel="1" collapsed="false">
      <c r="B81" s="29" t="s">
        <v>49</v>
      </c>
      <c r="C81" s="31" t="n">
        <v>39836.8588604766</v>
      </c>
      <c r="D81" s="31" t="n">
        <v>45188.0787074063</v>
      </c>
      <c r="E81" s="31" t="n">
        <v>47864.2185595547</v>
      </c>
      <c r="F81" s="31" t="n">
        <v>52917.6184863047</v>
      </c>
      <c r="G81" s="31" t="n">
        <v>65998.3781121328</v>
      </c>
      <c r="H81" s="31" t="n">
        <v>132889.156127438</v>
      </c>
      <c r="I81" s="31" t="n">
        <v>176590.25494868</v>
      </c>
      <c r="J81" s="31" t="n">
        <v>385568.691181242</v>
      </c>
    </row>
    <row r="82" customFormat="false" ht="12.65" hidden="false" customHeight="false" outlineLevel="1" collapsed="false">
      <c r="B82" s="29" t="s">
        <v>50</v>
      </c>
      <c r="C82" s="31" t="n">
        <v>9807.028174125</v>
      </c>
      <c r="D82" s="31" t="n">
        <v>11441.73364425</v>
      </c>
      <c r="E82" s="31" t="n">
        <v>12259.688702625</v>
      </c>
      <c r="F82" s="31" t="n">
        <v>13893.189526125</v>
      </c>
      <c r="G82" s="31" t="n">
        <v>16345.850054625</v>
      </c>
      <c r="H82" s="31" t="n">
        <v>39865.370761125</v>
      </c>
      <c r="I82" s="31" t="n">
        <v>62710.289357625</v>
      </c>
      <c r="J82" s="31" t="n">
        <v>24365.18263725</v>
      </c>
    </row>
    <row r="83" customFormat="false" ht="12.65" hidden="false" customHeight="false" outlineLevel="1" collapsed="false">
      <c r="B83" s="29" t="s">
        <v>51</v>
      </c>
      <c r="C83" s="31" t="n">
        <v>54198.256305375</v>
      </c>
      <c r="D83" s="31" t="n">
        <v>61477.93586025</v>
      </c>
      <c r="E83" s="31" t="n">
        <v>63095.776277625</v>
      </c>
      <c r="F83" s="31" t="n">
        <v>69567.137947125</v>
      </c>
      <c r="G83" s="31" t="n">
        <v>84127.7017035</v>
      </c>
      <c r="H83" s="31" t="n">
        <v>145605.63756375</v>
      </c>
      <c r="I83" s="31" t="n">
        <v>284739.913458</v>
      </c>
      <c r="J83" s="31" t="n">
        <v>258850.852840125</v>
      </c>
    </row>
    <row r="84" customFormat="false" ht="12.65" hidden="false" customHeight="false" outlineLevel="0" collapsed="false"/>
    <row r="85" customFormat="false" ht="15" hidden="false" customHeight="true" outlineLevel="0" collapsed="false">
      <c r="A85" s="15" t="s">
        <v>57</v>
      </c>
      <c r="B85" s="32"/>
      <c r="C85" s="32"/>
      <c r="D85" s="32"/>
      <c r="E85" s="32"/>
      <c r="F85" s="32"/>
      <c r="G85" s="32"/>
      <c r="H85" s="32"/>
      <c r="I85" s="33"/>
      <c r="J85" s="33"/>
    </row>
    <row r="86" customFormat="false" ht="15" hidden="false" customHeight="true" outlineLevel="1" collapsed="false">
      <c r="B86" s="24" t="s">
        <v>36</v>
      </c>
      <c r="C86" s="25" t="s">
        <v>37</v>
      </c>
      <c r="D86" s="25" t="s">
        <v>38</v>
      </c>
      <c r="E86" s="25" t="s">
        <v>39</v>
      </c>
      <c r="F86" s="25" t="s">
        <v>40</v>
      </c>
      <c r="G86" s="25" t="s">
        <v>41</v>
      </c>
      <c r="H86" s="25" t="s">
        <v>42</v>
      </c>
    </row>
    <row r="87" customFormat="false" ht="13.5" hidden="false" customHeight="true" outlineLevel="1" collapsed="false">
      <c r="B87" s="26" t="s">
        <v>45</v>
      </c>
      <c r="C87" s="27"/>
      <c r="D87" s="27"/>
      <c r="E87" s="27"/>
      <c r="F87" s="27"/>
      <c r="G87" s="27"/>
      <c r="H87" s="28"/>
      <c r="I87" s="34"/>
      <c r="J87" s="34"/>
    </row>
    <row r="88" customFormat="false" ht="12.75" hidden="false" customHeight="false" outlineLevel="1" collapsed="false">
      <c r="B88" s="29" t="s">
        <v>46</v>
      </c>
      <c r="C88" s="30" t="n">
        <v>11300</v>
      </c>
      <c r="D88" s="30" t="n">
        <v>12700</v>
      </c>
      <c r="E88" s="30" t="n">
        <v>13500</v>
      </c>
      <c r="F88" s="30" t="n">
        <v>14900</v>
      </c>
      <c r="G88" s="30" t="n">
        <v>18600</v>
      </c>
      <c r="H88" s="30" t="n">
        <v>36000</v>
      </c>
    </row>
    <row r="89" customFormat="false" ht="12.75" hidden="false" customHeight="false" outlineLevel="1" collapsed="false">
      <c r="B89" s="29" t="s">
        <v>47</v>
      </c>
      <c r="C89" s="30" t="n">
        <v>8</v>
      </c>
      <c r="D89" s="30" t="n">
        <v>10</v>
      </c>
      <c r="E89" s="30" t="n">
        <v>14.5</v>
      </c>
      <c r="F89" s="30" t="n">
        <v>17.5</v>
      </c>
      <c r="G89" s="30" t="n">
        <v>23</v>
      </c>
      <c r="H89" s="30" t="n">
        <v>46.5</v>
      </c>
    </row>
    <row r="90" customFormat="false" ht="12.75" hidden="false" customHeight="false" outlineLevel="1" collapsed="false">
      <c r="B90" s="29" t="s">
        <v>48</v>
      </c>
      <c r="C90" s="31" t="n">
        <v>31078.400283</v>
      </c>
      <c r="D90" s="31" t="n">
        <v>34928.821557</v>
      </c>
      <c r="E90" s="31" t="n">
        <v>37129.062285</v>
      </c>
      <c r="F90" s="31" t="n">
        <v>40979.483559</v>
      </c>
      <c r="G90" s="31" t="n">
        <v>51155.596926</v>
      </c>
      <c r="H90" s="31" t="n">
        <v>99010.83276</v>
      </c>
    </row>
    <row r="91" customFormat="false" ht="13.5" hidden="false" customHeight="true" outlineLevel="1" collapsed="false">
      <c r="B91" s="29" t="s">
        <v>49</v>
      </c>
      <c r="C91" s="31" t="n">
        <v>40240.664517375</v>
      </c>
      <c r="D91" s="31" t="n">
        <v>45226.233572625</v>
      </c>
      <c r="E91" s="31" t="n">
        <v>48075.130175625</v>
      </c>
      <c r="F91" s="31" t="n">
        <v>53060.699230875</v>
      </c>
      <c r="G91" s="31" t="n">
        <v>66236.84601975</v>
      </c>
      <c r="H91" s="31" t="n">
        <v>128200.347135</v>
      </c>
    </row>
    <row r="92" customFormat="false" ht="12.75" hidden="false" customHeight="false" outlineLevel="1" collapsed="false">
      <c r="B92" s="29" t="s">
        <v>50</v>
      </c>
      <c r="C92" s="31" t="n">
        <v>9682.94957175</v>
      </c>
      <c r="D92" s="31" t="n">
        <v>11297.17604925</v>
      </c>
      <c r="E92" s="31" t="n">
        <v>12103.084641375</v>
      </c>
      <c r="F92" s="31" t="n">
        <v>13717.311118875</v>
      </c>
      <c r="G92" s="31" t="n">
        <v>16138.650835125</v>
      </c>
      <c r="H92" s="31" t="n">
        <v>21716.164708875</v>
      </c>
    </row>
    <row r="93" customFormat="false" ht="12.75" hidden="false" customHeight="false" outlineLevel="1" collapsed="false">
      <c r="B93" s="29" t="s">
        <v>51</v>
      </c>
      <c r="C93" s="31" t="n">
        <v>12942.723339</v>
      </c>
      <c r="D93" s="31" t="n">
        <v>16178.40417375</v>
      </c>
      <c r="E93" s="31" t="n">
        <v>23459.28837525</v>
      </c>
      <c r="F93" s="31" t="n">
        <v>28312.809627375</v>
      </c>
      <c r="G93" s="31" t="n">
        <v>37210.329599625</v>
      </c>
      <c r="H93" s="31" t="n">
        <v>75230.18173125</v>
      </c>
    </row>
    <row r="94" customFormat="false" ht="13.5" hidden="false" customHeight="true" outlineLevel="1" collapsed="false">
      <c r="B94" s="26" t="s">
        <v>56</v>
      </c>
      <c r="C94" s="27"/>
      <c r="D94" s="27"/>
      <c r="E94" s="27"/>
      <c r="F94" s="27"/>
      <c r="G94" s="27"/>
      <c r="H94" s="28"/>
      <c r="I94" s="34"/>
      <c r="J94" s="34"/>
    </row>
    <row r="95" customFormat="false" ht="12.75" hidden="false" customHeight="false" outlineLevel="1" collapsed="false">
      <c r="B95" s="29" t="s">
        <v>46</v>
      </c>
      <c r="C95" s="30" t="n">
        <v>15000</v>
      </c>
      <c r="D95" s="30" t="n">
        <v>16800</v>
      </c>
      <c r="E95" s="30" t="n">
        <v>17900</v>
      </c>
      <c r="F95" s="30" t="n">
        <v>19700</v>
      </c>
      <c r="G95" s="30" t="n">
        <v>24600</v>
      </c>
      <c r="H95" s="30" t="n">
        <v>47700</v>
      </c>
    </row>
    <row r="96" customFormat="false" ht="12.75" hidden="false" customHeight="false" outlineLevel="1" collapsed="false">
      <c r="B96" s="29" t="s">
        <v>47</v>
      </c>
      <c r="C96" s="30" t="n">
        <v>13</v>
      </c>
      <c r="D96" s="30" t="n">
        <v>15.5</v>
      </c>
      <c r="E96" s="30" t="n">
        <v>21.5</v>
      </c>
      <c r="F96" s="30" t="n">
        <v>25.5</v>
      </c>
      <c r="G96" s="30" t="n">
        <v>32.5</v>
      </c>
      <c r="H96" s="30" t="n">
        <v>61</v>
      </c>
    </row>
    <row r="97" customFormat="false" ht="12.75" hidden="false" customHeight="false" outlineLevel="1" collapsed="false">
      <c r="B97" s="29" t="s">
        <v>48</v>
      </c>
      <c r="C97" s="31" t="n">
        <v>41254.51365</v>
      </c>
      <c r="D97" s="31" t="n">
        <v>46205.055288</v>
      </c>
      <c r="E97" s="31" t="n">
        <v>49230.386289</v>
      </c>
      <c r="F97" s="31" t="n">
        <v>54180.927927</v>
      </c>
      <c r="G97" s="31" t="n">
        <v>67657.402386</v>
      </c>
      <c r="H97" s="31" t="n">
        <v>131189.353407</v>
      </c>
    </row>
    <row r="98" customFormat="false" ht="12.75" hidden="false" customHeight="false" outlineLevel="1" collapsed="false">
      <c r="B98" s="29" t="s">
        <v>49</v>
      </c>
      <c r="C98" s="31" t="n">
        <v>53416.81130625</v>
      </c>
      <c r="D98" s="31" t="n">
        <v>59826.828663</v>
      </c>
      <c r="E98" s="31" t="n">
        <v>63744.061492125</v>
      </c>
      <c r="F98" s="31" t="n">
        <v>70154.078848875</v>
      </c>
      <c r="G98" s="31" t="n">
        <v>87603.57054225</v>
      </c>
      <c r="H98" s="31" t="n">
        <v>169865.459953875</v>
      </c>
    </row>
    <row r="99" customFormat="false" ht="12.75" hidden="false" customHeight="false" outlineLevel="1" collapsed="false">
      <c r="B99" s="29" t="s">
        <v>50</v>
      </c>
      <c r="C99" s="31" t="n">
        <v>9682.94957175</v>
      </c>
      <c r="D99" s="31" t="n">
        <v>11297.17604925</v>
      </c>
      <c r="E99" s="31" t="n">
        <v>12103.084641375</v>
      </c>
      <c r="F99" s="31" t="n">
        <v>13717.311118875</v>
      </c>
      <c r="G99" s="31" t="n">
        <v>16138.650835125</v>
      </c>
      <c r="H99" s="31" t="n">
        <v>21716.164708875</v>
      </c>
    </row>
    <row r="100" customFormat="false" ht="12.75" hidden="false" customHeight="false" outlineLevel="1" collapsed="false">
      <c r="B100" s="29" t="s">
        <v>51</v>
      </c>
      <c r="C100" s="31" t="n">
        <v>21031.925425875</v>
      </c>
      <c r="D100" s="31" t="n">
        <v>25077.128792625</v>
      </c>
      <c r="E100" s="31" t="n">
        <v>34784.171296875</v>
      </c>
      <c r="F100" s="31" t="n">
        <v>41255.532966375</v>
      </c>
      <c r="G100" s="31" t="n">
        <v>52580.415888</v>
      </c>
      <c r="H100" s="31" t="n">
        <v>98688.265459875</v>
      </c>
    </row>
    <row r="101" customFormat="false" ht="13.5" hidden="false" customHeight="true" outlineLevel="1" collapsed="false">
      <c r="B101" s="26" t="s">
        <v>53</v>
      </c>
      <c r="C101" s="27"/>
      <c r="D101" s="27"/>
      <c r="E101" s="27"/>
      <c r="F101" s="27"/>
      <c r="G101" s="27"/>
      <c r="H101" s="28"/>
      <c r="I101" s="34"/>
      <c r="J101" s="34"/>
    </row>
    <row r="102" customFormat="false" ht="12.75" hidden="false" customHeight="false" outlineLevel="1" collapsed="false">
      <c r="B102" s="29" t="s">
        <v>46</v>
      </c>
      <c r="C102" s="30" t="n">
        <v>16700</v>
      </c>
      <c r="D102" s="30" t="n">
        <v>18700</v>
      </c>
      <c r="E102" s="30" t="n">
        <v>19900</v>
      </c>
      <c r="F102" s="30" t="n">
        <v>22000</v>
      </c>
      <c r="G102" s="30" t="n">
        <v>27400</v>
      </c>
      <c r="H102" s="30" t="n">
        <v>54000</v>
      </c>
    </row>
    <row r="103" customFormat="false" ht="12.75" hidden="false" customHeight="false" outlineLevel="1" collapsed="false">
      <c r="B103" s="29" t="s">
        <v>47</v>
      </c>
      <c r="C103" s="30" t="n">
        <v>15.5</v>
      </c>
      <c r="D103" s="30" t="n">
        <v>18.5</v>
      </c>
      <c r="E103" s="30" t="n">
        <v>25</v>
      </c>
      <c r="F103" s="30" t="n">
        <v>29.5</v>
      </c>
      <c r="G103" s="30" t="n">
        <v>37</v>
      </c>
      <c r="H103" s="30" t="n">
        <v>68.5</v>
      </c>
    </row>
    <row r="104" customFormat="false" ht="12.75" hidden="false" customHeight="false" outlineLevel="1" collapsed="false">
      <c r="B104" s="29" t="s">
        <v>48</v>
      </c>
      <c r="C104" s="31" t="n">
        <v>45930.025197</v>
      </c>
      <c r="D104" s="31" t="n">
        <v>51430.627017</v>
      </c>
      <c r="E104" s="31" t="n">
        <v>54730.988109</v>
      </c>
      <c r="F104" s="31" t="n">
        <v>60506.62002</v>
      </c>
      <c r="G104" s="31" t="n">
        <v>75358.244934</v>
      </c>
      <c r="H104" s="31" t="n">
        <v>148516.24914</v>
      </c>
    </row>
    <row r="105" customFormat="false" ht="12.75" hidden="false" customHeight="false" outlineLevel="1" collapsed="false">
      <c r="B105" s="29" t="s">
        <v>49</v>
      </c>
      <c r="C105" s="31" t="n">
        <v>59470.716587625</v>
      </c>
      <c r="D105" s="31" t="n">
        <v>66592.958095125</v>
      </c>
      <c r="E105" s="31" t="n">
        <v>70866.302999625</v>
      </c>
      <c r="F105" s="31" t="n">
        <v>78344.6565825</v>
      </c>
      <c r="G105" s="31" t="n">
        <v>97574.70865275</v>
      </c>
      <c r="H105" s="31" t="n">
        <v>192300.5207025</v>
      </c>
    </row>
    <row r="106" customFormat="false" ht="12.75" hidden="false" customHeight="false" outlineLevel="1" collapsed="false">
      <c r="B106" s="29" t="s">
        <v>50</v>
      </c>
      <c r="C106" s="31" t="n">
        <v>19341.806211</v>
      </c>
      <c r="D106" s="31" t="n">
        <v>22566.645226125</v>
      </c>
      <c r="E106" s="31" t="n">
        <v>24178.462410375</v>
      </c>
      <c r="F106" s="31" t="n">
        <v>27402.096778875</v>
      </c>
      <c r="G106" s="31" t="n">
        <v>32237.548331625</v>
      </c>
      <c r="H106" s="31" t="n">
        <v>79289.8408575</v>
      </c>
    </row>
    <row r="107" customFormat="false" ht="12.75" hidden="false" customHeight="false" outlineLevel="1" collapsed="false">
      <c r="B107" s="29" t="s">
        <v>51</v>
      </c>
      <c r="C107" s="31" t="n">
        <v>25077.128792625</v>
      </c>
      <c r="D107" s="31" t="n">
        <v>29930.65004475</v>
      </c>
      <c r="E107" s="31" t="n">
        <v>40446.010434375</v>
      </c>
      <c r="F107" s="31" t="n">
        <v>47726.894635875</v>
      </c>
      <c r="G107" s="31" t="n">
        <v>59860.095442875</v>
      </c>
      <c r="H107" s="31" t="n">
        <v>110822.6709135</v>
      </c>
    </row>
    <row r="108" customFormat="false" ht="13.5" hidden="false" customHeight="true" outlineLevel="1" collapsed="false">
      <c r="B108" s="26" t="s">
        <v>54</v>
      </c>
      <c r="C108" s="27"/>
      <c r="D108" s="27"/>
      <c r="E108" s="27"/>
      <c r="F108" s="27"/>
      <c r="G108" s="27"/>
      <c r="H108" s="28"/>
      <c r="I108" s="34"/>
      <c r="J108" s="34"/>
    </row>
    <row r="109" customFormat="false" ht="12.65" hidden="false" customHeight="false" outlineLevel="1" collapsed="false">
      <c r="B109" s="29" t="s">
        <v>46</v>
      </c>
      <c r="C109" s="30" t="n">
        <v>26000</v>
      </c>
      <c r="D109" s="30" t="n">
        <v>29200</v>
      </c>
      <c r="E109" s="30" t="n">
        <v>31100</v>
      </c>
      <c r="F109" s="30" t="n">
        <v>34300</v>
      </c>
      <c r="G109" s="30" t="n">
        <v>42800</v>
      </c>
      <c r="H109" s="30" t="n">
        <v>84600</v>
      </c>
    </row>
    <row r="110" customFormat="false" ht="12.65" hidden="false" customHeight="false" outlineLevel="1" collapsed="false">
      <c r="B110" s="29" t="s">
        <v>47</v>
      </c>
      <c r="C110" s="30" t="n">
        <v>20</v>
      </c>
      <c r="D110" s="30" t="n">
        <v>24</v>
      </c>
      <c r="E110" s="30" t="n">
        <v>32</v>
      </c>
      <c r="F110" s="30" t="n">
        <v>37</v>
      </c>
      <c r="G110" s="30" t="n">
        <v>46</v>
      </c>
      <c r="H110" s="30" t="n">
        <v>81.5</v>
      </c>
    </row>
    <row r="111" customFormat="false" ht="12.65" hidden="false" customHeight="false" outlineLevel="1" collapsed="false">
      <c r="B111" s="29" t="s">
        <v>48</v>
      </c>
      <c r="C111" s="31" t="n">
        <v>71507.82366</v>
      </c>
      <c r="D111" s="31" t="n">
        <v>80308.786572</v>
      </c>
      <c r="E111" s="31" t="n">
        <v>85534.358301</v>
      </c>
      <c r="F111" s="31" t="n">
        <v>94335.321213</v>
      </c>
      <c r="G111" s="31" t="n">
        <v>117712.878948</v>
      </c>
      <c r="H111" s="31" t="n">
        <v>232675.456986</v>
      </c>
    </row>
    <row r="112" customFormat="false" ht="12.65" hidden="false" customHeight="false" outlineLevel="1" collapsed="false">
      <c r="B112" s="29" t="s">
        <v>49</v>
      </c>
      <c r="C112" s="31" t="n">
        <v>92589.1395975</v>
      </c>
      <c r="D112" s="31" t="n">
        <v>103984.7260095</v>
      </c>
      <c r="E112" s="31" t="n">
        <v>110750.855441625</v>
      </c>
      <c r="F112" s="31" t="n">
        <v>122146.441853625</v>
      </c>
      <c r="G112" s="31" t="n">
        <v>152415.9682605</v>
      </c>
      <c r="H112" s="31" t="n">
        <v>301270.81576725</v>
      </c>
    </row>
    <row r="113" customFormat="false" ht="12.65" hidden="false" customHeight="false" outlineLevel="1" collapsed="false">
      <c r="B113" s="29" t="s">
        <v>50</v>
      </c>
      <c r="C113" s="31" t="n">
        <v>19341.806211</v>
      </c>
      <c r="D113" s="31" t="n">
        <v>22566.645226125</v>
      </c>
      <c r="E113" s="31" t="n">
        <v>24178.462410375</v>
      </c>
      <c r="F113" s="31" t="n">
        <v>27402.096778875</v>
      </c>
      <c r="G113" s="31" t="n">
        <v>32237.548331625</v>
      </c>
      <c r="H113" s="31" t="n">
        <v>79289.8408575</v>
      </c>
    </row>
    <row r="114" customFormat="false" ht="12.65" hidden="false" customHeight="false" outlineLevel="1" collapsed="false">
      <c r="B114" s="29" t="s">
        <v>51</v>
      </c>
      <c r="C114" s="31" t="n">
        <v>32356.8083475</v>
      </c>
      <c r="D114" s="31" t="n">
        <v>38828.170017</v>
      </c>
      <c r="E114" s="31" t="n">
        <v>51770.893356</v>
      </c>
      <c r="F114" s="31" t="n">
        <v>59860.095442875</v>
      </c>
      <c r="G114" s="31" t="n">
        <v>74420.65919925</v>
      </c>
      <c r="H114" s="31" t="n">
        <v>131854.596339375</v>
      </c>
    </row>
    <row r="115" customFormat="false" ht="12.65" hidden="false" customHeight="false" outlineLevel="0" collapsed="false"/>
    <row r="116" customFormat="false" ht="15" hidden="false" customHeight="true" outlineLevel="0" collapsed="false">
      <c r="A116" s="15" t="s">
        <v>58</v>
      </c>
      <c r="B116" s="32"/>
      <c r="C116" s="32"/>
      <c r="D116" s="32"/>
      <c r="E116" s="32"/>
      <c r="F116" s="32"/>
      <c r="G116" s="32"/>
      <c r="H116" s="32"/>
      <c r="I116" s="33"/>
      <c r="J116" s="33"/>
    </row>
    <row r="117" customFormat="false" ht="15" hidden="false" customHeight="true" outlineLevel="1" collapsed="false">
      <c r="B117" s="24" t="s">
        <v>36</v>
      </c>
      <c r="C117" s="25" t="s">
        <v>37</v>
      </c>
      <c r="D117" s="25" t="s">
        <v>38</v>
      </c>
      <c r="E117" s="25" t="s">
        <v>39</v>
      </c>
      <c r="F117" s="25" t="s">
        <v>40</v>
      </c>
      <c r="G117" s="25" t="s">
        <v>41</v>
      </c>
      <c r="H117" s="25" t="s">
        <v>42</v>
      </c>
    </row>
    <row r="118" customFormat="false" ht="13.5" hidden="false" customHeight="true" outlineLevel="1" collapsed="false">
      <c r="B118" s="26" t="s">
        <v>45</v>
      </c>
      <c r="C118" s="27"/>
      <c r="D118" s="27"/>
      <c r="E118" s="27"/>
      <c r="F118" s="27"/>
      <c r="G118" s="27"/>
      <c r="H118" s="28"/>
      <c r="I118" s="34"/>
      <c r="J118" s="34"/>
    </row>
    <row r="119" customFormat="false" ht="12.75" hidden="false" customHeight="false" outlineLevel="1" collapsed="false">
      <c r="B119" s="29" t="s">
        <v>46</v>
      </c>
      <c r="C119" s="30" t="n">
        <v>9200</v>
      </c>
      <c r="D119" s="30" t="n">
        <v>10400</v>
      </c>
      <c r="E119" s="30" t="n">
        <v>11000</v>
      </c>
      <c r="F119" s="30" t="n">
        <v>12200</v>
      </c>
      <c r="G119" s="30" t="n">
        <v>15200</v>
      </c>
      <c r="H119" s="30" t="n">
        <v>36000</v>
      </c>
    </row>
    <row r="120" customFormat="false" ht="12.75" hidden="false" customHeight="false" outlineLevel="1" collapsed="false">
      <c r="B120" s="29" t="s">
        <v>47</v>
      </c>
      <c r="C120" s="30" t="n">
        <v>13</v>
      </c>
      <c r="D120" s="30" t="n">
        <v>17</v>
      </c>
      <c r="E120" s="30" t="n">
        <v>19.5</v>
      </c>
      <c r="F120" s="30" t="n">
        <v>21</v>
      </c>
      <c r="G120" s="30" t="n">
        <v>22</v>
      </c>
      <c r="H120" s="30" t="n">
        <v>31.5</v>
      </c>
    </row>
    <row r="121" customFormat="false" ht="12.75" hidden="false" customHeight="false" outlineLevel="1" collapsed="false">
      <c r="B121" s="29" t="s">
        <v>48</v>
      </c>
      <c r="C121" s="31" t="n">
        <v>21123.293239125</v>
      </c>
      <c r="D121" s="31" t="n">
        <v>23878.50540075</v>
      </c>
      <c r="E121" s="31" t="n">
        <v>25256.1114815625</v>
      </c>
      <c r="F121" s="31" t="n">
        <v>28011.3236431875</v>
      </c>
      <c r="G121" s="31" t="n">
        <v>34899.35404725</v>
      </c>
      <c r="H121" s="31" t="n">
        <v>82656.36484875</v>
      </c>
    </row>
    <row r="122" customFormat="false" ht="13.5" hidden="false" customHeight="true" outlineLevel="1" collapsed="false">
      <c r="B122" s="29" t="s">
        <v>49</v>
      </c>
      <c r="C122" s="31" t="n">
        <v>27350.6792176406</v>
      </c>
      <c r="D122" s="31" t="n">
        <v>30918.1591155938</v>
      </c>
      <c r="E122" s="31" t="n">
        <v>32701.8990645703</v>
      </c>
      <c r="F122" s="31" t="n">
        <v>36269.3789625234</v>
      </c>
      <c r="G122" s="31" t="n">
        <v>45188.0787074063</v>
      </c>
      <c r="H122" s="31" t="n">
        <v>107024.396938594</v>
      </c>
    </row>
    <row r="123" customFormat="false" ht="12.75" hidden="false" customHeight="false" outlineLevel="1" collapsed="false">
      <c r="B123" s="29" t="s">
        <v>50</v>
      </c>
      <c r="C123" s="31" t="n">
        <v>9682.94957175</v>
      </c>
      <c r="D123" s="31" t="n">
        <v>11297.17604925</v>
      </c>
      <c r="E123" s="31" t="n">
        <v>12103.084641375</v>
      </c>
      <c r="F123" s="31" t="n">
        <v>13717.311118875</v>
      </c>
      <c r="G123" s="31" t="n">
        <v>16138.650835125</v>
      </c>
      <c r="H123" s="31" t="n">
        <v>21716.164708875</v>
      </c>
    </row>
    <row r="124" customFormat="false" ht="12.75" hidden="false" customHeight="false" outlineLevel="1" collapsed="false">
      <c r="B124" s="29" t="s">
        <v>51</v>
      </c>
      <c r="C124" s="31" t="n">
        <v>21031.925425875</v>
      </c>
      <c r="D124" s="31" t="n">
        <v>27503.287095375</v>
      </c>
      <c r="E124" s="31" t="n">
        <v>31548.490462125</v>
      </c>
      <c r="F124" s="31" t="n">
        <v>33974.648764875</v>
      </c>
      <c r="G124" s="31" t="n">
        <v>35592.48918225</v>
      </c>
      <c r="H124" s="31" t="n">
        <v>50962.575470625</v>
      </c>
    </row>
    <row r="125" customFormat="false" ht="13.5" hidden="false" customHeight="true" outlineLevel="1" collapsed="false">
      <c r="B125" s="26" t="s">
        <v>56</v>
      </c>
      <c r="C125" s="27"/>
      <c r="D125" s="27"/>
      <c r="E125" s="27"/>
      <c r="F125" s="27"/>
      <c r="G125" s="27"/>
      <c r="H125" s="28"/>
      <c r="I125" s="34"/>
      <c r="J125" s="34"/>
    </row>
    <row r="126" customFormat="false" ht="12.75" hidden="false" customHeight="false" outlineLevel="1" collapsed="false">
      <c r="B126" s="29" t="s">
        <v>46</v>
      </c>
      <c r="C126" s="30" t="n">
        <v>13800</v>
      </c>
      <c r="D126" s="30" t="n">
        <v>15600</v>
      </c>
      <c r="E126" s="30" t="n">
        <v>16500</v>
      </c>
      <c r="F126" s="30" t="n">
        <v>18300</v>
      </c>
      <c r="G126" s="30" t="n">
        <v>22800</v>
      </c>
      <c r="H126" s="30" t="n">
        <v>53100</v>
      </c>
    </row>
    <row r="127" customFormat="false" ht="12.75" hidden="false" customHeight="false" outlineLevel="1" collapsed="false">
      <c r="B127" s="29" t="s">
        <v>47</v>
      </c>
      <c r="C127" s="30" t="n">
        <v>22.5</v>
      </c>
      <c r="D127" s="30" t="n">
        <v>28</v>
      </c>
      <c r="E127" s="30" t="n">
        <v>34.5</v>
      </c>
      <c r="F127" s="30" t="n">
        <v>37.5</v>
      </c>
      <c r="G127" s="30" t="n">
        <v>46.5</v>
      </c>
      <c r="H127" s="30" t="n">
        <v>59</v>
      </c>
    </row>
    <row r="128" customFormat="false" ht="12.75" hidden="false" customHeight="false" outlineLevel="1" collapsed="false">
      <c r="B128" s="29" t="s">
        <v>48</v>
      </c>
      <c r="C128" s="31" t="n">
        <v>31562.1585680625</v>
      </c>
      <c r="D128" s="31" t="n">
        <v>35817.758101125</v>
      </c>
      <c r="E128" s="31" t="n">
        <v>37884.1672223438</v>
      </c>
      <c r="F128" s="31" t="n">
        <v>42016.9854647813</v>
      </c>
      <c r="G128" s="31" t="n">
        <v>52349.031070875</v>
      </c>
      <c r="H128" s="31" t="n">
        <v>121918.138151906</v>
      </c>
    </row>
    <row r="129" customFormat="false" ht="12.75" hidden="false" customHeight="false" outlineLevel="1" collapsed="false">
      <c r="B129" s="29" t="s">
        <v>49</v>
      </c>
      <c r="C129" s="31" t="n">
        <v>41026.0188264609</v>
      </c>
      <c r="D129" s="31" t="n">
        <v>46377.2386733906</v>
      </c>
      <c r="E129" s="31" t="n">
        <v>49053.3785255391</v>
      </c>
      <c r="F129" s="31" t="n">
        <v>54404.5983724688</v>
      </c>
      <c r="G129" s="31" t="n">
        <v>67782.1180611094</v>
      </c>
      <c r="H129" s="31" t="n">
        <v>157861.515413109</v>
      </c>
    </row>
    <row r="130" customFormat="false" ht="12.75" hidden="false" customHeight="false" outlineLevel="1" collapsed="false">
      <c r="B130" s="29" t="s">
        <v>50</v>
      </c>
      <c r="C130" s="31" t="n">
        <v>9682.94957175</v>
      </c>
      <c r="D130" s="31" t="n">
        <v>11297.17604925</v>
      </c>
      <c r="E130" s="31" t="n">
        <v>12103.084641375</v>
      </c>
      <c r="F130" s="31" t="n">
        <v>13717.311118875</v>
      </c>
      <c r="G130" s="31" t="n">
        <v>16138.650835125</v>
      </c>
      <c r="H130" s="31" t="n">
        <v>21716.164708875</v>
      </c>
    </row>
    <row r="131" customFormat="false" ht="12.75" hidden="false" customHeight="false" outlineLevel="1" collapsed="false">
      <c r="B131" s="29" t="s">
        <v>51</v>
      </c>
      <c r="C131" s="31" t="n">
        <v>36402.01171425</v>
      </c>
      <c r="D131" s="31" t="n">
        <v>45299.5316865</v>
      </c>
      <c r="E131" s="31" t="n">
        <v>55816.09672275</v>
      </c>
      <c r="F131" s="31" t="n">
        <v>60669.617974875</v>
      </c>
      <c r="G131" s="31" t="n">
        <v>75230.18173125</v>
      </c>
      <c r="H131" s="31" t="n">
        <v>95452.584625125</v>
      </c>
    </row>
    <row r="132" customFormat="false" ht="13.5" hidden="false" customHeight="true" outlineLevel="1" collapsed="false">
      <c r="B132" s="26" t="s">
        <v>53</v>
      </c>
      <c r="C132" s="27"/>
      <c r="D132" s="27"/>
      <c r="E132" s="27"/>
      <c r="F132" s="27"/>
      <c r="G132" s="27"/>
      <c r="H132" s="28"/>
      <c r="I132" s="34"/>
      <c r="J132" s="34"/>
    </row>
    <row r="133" customFormat="false" ht="12.75" hidden="false" customHeight="false" outlineLevel="1" collapsed="false">
      <c r="B133" s="29" t="s">
        <v>46</v>
      </c>
      <c r="C133" s="30" t="n">
        <v>16100</v>
      </c>
      <c r="D133" s="30" t="n">
        <v>18200</v>
      </c>
      <c r="E133" s="30" t="n">
        <v>19300</v>
      </c>
      <c r="F133" s="30" t="n">
        <v>21400</v>
      </c>
      <c r="G133" s="30" t="n">
        <v>26600</v>
      </c>
      <c r="H133" s="30" t="n">
        <v>61200</v>
      </c>
    </row>
    <row r="134" customFormat="false" ht="12.75" hidden="false" customHeight="false" outlineLevel="1" collapsed="false">
      <c r="B134" s="29" t="s">
        <v>47</v>
      </c>
      <c r="C134" s="30" t="n">
        <v>28.5</v>
      </c>
      <c r="D134" s="30" t="n">
        <v>34.5</v>
      </c>
      <c r="E134" s="30" t="n">
        <v>43</v>
      </c>
      <c r="F134" s="30" t="n">
        <v>48.5</v>
      </c>
      <c r="G134" s="30" t="n">
        <v>70.5</v>
      </c>
      <c r="H134" s="30" t="n">
        <v>86.5</v>
      </c>
    </row>
    <row r="135" customFormat="false" ht="12.75" hidden="false" customHeight="false" outlineLevel="1" collapsed="false">
      <c r="B135" s="29" t="s">
        <v>48</v>
      </c>
      <c r="C135" s="31" t="n">
        <v>36965.7631684688</v>
      </c>
      <c r="D135" s="31" t="n">
        <v>41787.3844513125</v>
      </c>
      <c r="E135" s="31" t="n">
        <v>44312.9955994688</v>
      </c>
      <c r="F135" s="31" t="n">
        <v>49134.6168823125</v>
      </c>
      <c r="G135" s="31" t="n">
        <v>61073.8695826875</v>
      </c>
      <c r="H135" s="31" t="n">
        <v>140515.820242875</v>
      </c>
    </row>
    <row r="136" customFormat="false" ht="12.75" hidden="false" customHeight="false" outlineLevel="1" collapsed="false">
      <c r="B136" s="29" t="s">
        <v>49</v>
      </c>
      <c r="C136" s="31" t="n">
        <v>47864.2185595547</v>
      </c>
      <c r="D136" s="31" t="n">
        <v>54106.7784522891</v>
      </c>
      <c r="E136" s="31" t="n">
        <v>57377.4982874297</v>
      </c>
      <c r="F136" s="31" t="n">
        <v>63620.0581801641</v>
      </c>
      <c r="G136" s="31" t="n">
        <v>79079.137737961</v>
      </c>
      <c r="H136" s="31" t="n">
        <v>181941.474795609</v>
      </c>
    </row>
    <row r="137" customFormat="false" ht="12.75" hidden="false" customHeight="false" outlineLevel="1" collapsed="false">
      <c r="B137" s="29" t="s">
        <v>50</v>
      </c>
      <c r="C137" s="31" t="n">
        <v>19341.806211</v>
      </c>
      <c r="D137" s="31" t="n">
        <v>22566.645226125</v>
      </c>
      <c r="E137" s="31" t="n">
        <v>24178.462410375</v>
      </c>
      <c r="F137" s="31" t="n">
        <v>27402.096778875</v>
      </c>
      <c r="G137" s="31" t="n">
        <v>32237.548331625</v>
      </c>
      <c r="H137" s="31" t="n">
        <v>79289.8408575</v>
      </c>
    </row>
    <row r="138" customFormat="false" ht="12.75" hidden="false" customHeight="false" outlineLevel="1" collapsed="false">
      <c r="B138" s="29" t="s">
        <v>51</v>
      </c>
      <c r="C138" s="31" t="n">
        <v>46109.0542185</v>
      </c>
      <c r="D138" s="31" t="n">
        <v>55816.09672275</v>
      </c>
      <c r="E138" s="31" t="n">
        <v>69567.137947125</v>
      </c>
      <c r="F138" s="31" t="n">
        <v>78465.862566</v>
      </c>
      <c r="G138" s="31" t="n">
        <v>114058.35174825</v>
      </c>
      <c r="H138" s="31" t="n">
        <v>139943.79842625</v>
      </c>
    </row>
    <row r="139" customFormat="false" ht="13.5" hidden="false" customHeight="true" outlineLevel="1" collapsed="false">
      <c r="B139" s="26" t="s">
        <v>54</v>
      </c>
      <c r="C139" s="27"/>
      <c r="D139" s="27"/>
      <c r="E139" s="27"/>
      <c r="F139" s="27"/>
      <c r="G139" s="27"/>
      <c r="H139" s="28"/>
      <c r="I139" s="34"/>
      <c r="J139" s="34"/>
    </row>
    <row r="140" customFormat="false" ht="12.65" hidden="false" customHeight="false" outlineLevel="1" collapsed="false">
      <c r="B140" s="29" t="s">
        <v>46</v>
      </c>
      <c r="C140" s="30" t="n">
        <v>21200</v>
      </c>
      <c r="D140" s="30" t="n">
        <v>23900</v>
      </c>
      <c r="E140" s="30" t="n">
        <v>25300</v>
      </c>
      <c r="F140" s="30" t="n">
        <v>28100</v>
      </c>
      <c r="G140" s="30" t="n">
        <v>35000</v>
      </c>
      <c r="H140" s="30" t="n">
        <v>79200</v>
      </c>
    </row>
    <row r="141" customFormat="false" ht="12.65" hidden="false" customHeight="false" outlineLevel="1" collapsed="false">
      <c r="B141" s="29" t="s">
        <v>47</v>
      </c>
      <c r="C141" s="30" t="n">
        <v>43</v>
      </c>
      <c r="D141" s="30" t="n">
        <v>50.5</v>
      </c>
      <c r="E141" s="30" t="n">
        <v>61.5</v>
      </c>
      <c r="F141" s="30" t="n">
        <v>68.5</v>
      </c>
      <c r="G141" s="30" t="n">
        <v>99</v>
      </c>
      <c r="H141" s="30" t="n">
        <v>125</v>
      </c>
    </row>
    <row r="142" customFormat="false" ht="12.65" hidden="false" customHeight="false" outlineLevel="1" collapsed="false">
      <c r="B142" s="29" t="s">
        <v>48</v>
      </c>
      <c r="C142" s="31" t="n">
        <v>48675.414855375</v>
      </c>
      <c r="D142" s="31" t="n">
        <v>54874.6422190313</v>
      </c>
      <c r="E142" s="31" t="n">
        <v>58089.0564075938</v>
      </c>
      <c r="F142" s="31" t="n">
        <v>64517.8847847188</v>
      </c>
      <c r="G142" s="31" t="n">
        <v>80360.3547140625</v>
      </c>
      <c r="H142" s="31" t="n">
        <v>181844.00266725</v>
      </c>
    </row>
    <row r="143" customFormat="false" ht="12.65" hidden="false" customHeight="false" outlineLevel="1" collapsed="false">
      <c r="B143" s="29" t="s">
        <v>49</v>
      </c>
      <c r="C143" s="31" t="n">
        <v>63025.4781971719</v>
      </c>
      <c r="D143" s="31" t="n">
        <v>71052.83789625</v>
      </c>
      <c r="E143" s="31" t="n">
        <v>75214.8977771953</v>
      </c>
      <c r="F143" s="31" t="n">
        <v>83539.017539086</v>
      </c>
      <c r="G143" s="31" t="n">
        <v>104051.497023633</v>
      </c>
      <c r="H143" s="31" t="n">
        <v>235453.673264906</v>
      </c>
    </row>
    <row r="144" customFormat="false" ht="12.65" hidden="false" customHeight="false" outlineLevel="1" collapsed="false">
      <c r="B144" s="29" t="s">
        <v>50</v>
      </c>
      <c r="C144" s="31" t="n">
        <v>19341.806211</v>
      </c>
      <c r="D144" s="31" t="n">
        <v>22566.645226125</v>
      </c>
      <c r="E144" s="31" t="n">
        <v>24178.462410375</v>
      </c>
      <c r="F144" s="31" t="n">
        <v>27402.096778875</v>
      </c>
      <c r="G144" s="31" t="n">
        <v>32237.548331625</v>
      </c>
      <c r="H144" s="31" t="n">
        <v>79289.8408575</v>
      </c>
    </row>
    <row r="145" customFormat="false" ht="12.65" hidden="false" customHeight="false" outlineLevel="1" collapsed="false">
      <c r="B145" s="29" t="s">
        <v>51</v>
      </c>
      <c r="C145" s="31" t="n">
        <v>69567.137947125</v>
      </c>
      <c r="D145" s="31" t="n">
        <v>81701.54340075</v>
      </c>
      <c r="E145" s="31" t="n">
        <v>99497.787991875</v>
      </c>
      <c r="F145" s="31" t="n">
        <v>110786.53151475</v>
      </c>
      <c r="G145" s="31" t="n">
        <v>160166.201320125</v>
      </c>
      <c r="H145" s="31" t="n">
        <v>202230.052171875</v>
      </c>
    </row>
    <row r="146" customFormat="false" ht="12.65" hidden="false" customHeight="false" outlineLevel="0" collapsed="false"/>
    <row r="147" customFormat="false" ht="15" hidden="false" customHeight="true" outlineLevel="0" collapsed="false">
      <c r="A147" s="15" t="s">
        <v>59</v>
      </c>
      <c r="B147" s="32"/>
      <c r="C147" s="32"/>
      <c r="D147" s="32"/>
      <c r="E147" s="32"/>
      <c r="F147" s="32"/>
      <c r="G147" s="32"/>
      <c r="H147" s="33"/>
      <c r="I147" s="33"/>
      <c r="J147" s="33"/>
    </row>
    <row r="148" customFormat="false" ht="15" hidden="false" customHeight="true" outlineLevel="1" collapsed="false">
      <c r="B148" s="24" t="s">
        <v>36</v>
      </c>
      <c r="C148" s="25" t="s">
        <v>37</v>
      </c>
      <c r="D148" s="25" t="s">
        <v>38</v>
      </c>
      <c r="E148" s="25" t="s">
        <v>39</v>
      </c>
      <c r="F148" s="25" t="s">
        <v>40</v>
      </c>
      <c r="G148" s="25" t="s">
        <v>41</v>
      </c>
    </row>
    <row r="149" customFormat="false" ht="13.5" hidden="false" customHeight="true" outlineLevel="1" collapsed="false">
      <c r="B149" s="26" t="s">
        <v>45</v>
      </c>
      <c r="C149" s="27"/>
      <c r="D149" s="27"/>
      <c r="E149" s="27"/>
      <c r="F149" s="27"/>
      <c r="G149" s="28"/>
      <c r="H149" s="34"/>
      <c r="I149" s="34"/>
      <c r="J149" s="34"/>
    </row>
    <row r="150" customFormat="false" ht="12.75" hidden="false" customHeight="false" outlineLevel="1" collapsed="false">
      <c r="B150" s="29" t="s">
        <v>48</v>
      </c>
      <c r="C150" s="31" t="n">
        <v>5412.19929075</v>
      </c>
      <c r="D150" s="31" t="n">
        <v>10130.6842894688</v>
      </c>
      <c r="E150" s="31" t="n">
        <v>10257.1490188125</v>
      </c>
      <c r="F150" s="31" t="n">
        <v>13654.5073304063</v>
      </c>
      <c r="G150" s="31" t="n">
        <v>14787.778642875</v>
      </c>
    </row>
    <row r="151" customFormat="false" ht="13.5" hidden="false" customHeight="true" outlineLevel="1" collapsed="false">
      <c r="B151" s="29" t="s">
        <v>49</v>
      </c>
      <c r="C151" s="31" t="n">
        <v>13036.2456164063</v>
      </c>
      <c r="D151" s="31" t="n">
        <v>13579.9524457734</v>
      </c>
      <c r="E151" s="31" t="n">
        <v>15208.9532191406</v>
      </c>
      <c r="F151" s="31" t="n">
        <v>21727.0760273438</v>
      </c>
      <c r="G151" s="31" t="n">
        <v>32590.6140410156</v>
      </c>
    </row>
    <row r="152" customFormat="false" ht="12.75" hidden="false" customHeight="false" outlineLevel="1" collapsed="false">
      <c r="B152" s="29" t="s">
        <v>50</v>
      </c>
      <c r="C152" s="31" t="n">
        <v>5186.003720625</v>
      </c>
      <c r="D152" s="31" t="n">
        <v>5865.424417125</v>
      </c>
      <c r="E152" s="31" t="n">
        <v>6420.76651125</v>
      </c>
      <c r="F152" s="31" t="n">
        <v>7100.18720775</v>
      </c>
      <c r="G152" s="31" t="n">
        <v>9261.323253</v>
      </c>
    </row>
    <row r="153" customFormat="false" ht="13.5" hidden="false" customHeight="true" outlineLevel="1" collapsed="false">
      <c r="B153" s="26" t="s">
        <v>56</v>
      </c>
      <c r="C153" s="27"/>
      <c r="D153" s="27"/>
      <c r="E153" s="27"/>
      <c r="F153" s="27"/>
      <c r="G153" s="28"/>
      <c r="H153" s="34"/>
      <c r="I153" s="34"/>
      <c r="J153" s="34"/>
    </row>
    <row r="154" customFormat="false" ht="12.75" hidden="false" customHeight="false" outlineLevel="1" collapsed="false">
      <c r="B154" s="29" t="s">
        <v>48</v>
      </c>
      <c r="C154" s="31" t="n">
        <v>9502.04408146875</v>
      </c>
      <c r="D154" s="31" t="n">
        <v>17745.5799340313</v>
      </c>
      <c r="E154" s="31" t="n">
        <v>17933.4353086875</v>
      </c>
      <c r="F154" s="31" t="n">
        <v>23911.6563492188</v>
      </c>
      <c r="G154" s="31" t="n">
        <v>25862.65105725</v>
      </c>
    </row>
    <row r="155" customFormat="false" ht="12.75" hidden="false" customHeight="false" outlineLevel="1" collapsed="false">
      <c r="B155" s="29" t="s">
        <v>49</v>
      </c>
      <c r="C155" s="31" t="n">
        <v>22813.4298287109</v>
      </c>
      <c r="D155" s="31" t="n">
        <v>23791.678178625</v>
      </c>
      <c r="E155" s="31" t="n">
        <v>26616.1980621797</v>
      </c>
      <c r="F155" s="31" t="n">
        <v>38022.3830478516</v>
      </c>
      <c r="G155" s="31" t="n">
        <v>57034.104500461</v>
      </c>
    </row>
    <row r="156" customFormat="false" ht="12.75" hidden="false" customHeight="false" outlineLevel="1" collapsed="false">
      <c r="B156" s="29" t="s">
        <v>50</v>
      </c>
      <c r="C156" s="31" t="n">
        <v>9075.80767275</v>
      </c>
      <c r="D156" s="31" t="n">
        <v>10249.1334855</v>
      </c>
      <c r="E156" s="31" t="n">
        <v>11236.943718</v>
      </c>
      <c r="F156" s="31" t="n">
        <v>12409.064884125</v>
      </c>
      <c r="G156" s="31" t="n">
        <v>16237.431858375</v>
      </c>
    </row>
    <row r="157" customFormat="false" ht="13.5" hidden="false" customHeight="true" outlineLevel="1" collapsed="false">
      <c r="B157" s="26" t="s">
        <v>54</v>
      </c>
      <c r="C157" s="27"/>
      <c r="D157" s="27"/>
      <c r="E157" s="27"/>
      <c r="F157" s="27"/>
      <c r="G157" s="28"/>
      <c r="H157" s="34"/>
      <c r="I157" s="34"/>
      <c r="J157" s="34"/>
    </row>
    <row r="158" customFormat="false" ht="12.65" hidden="false" customHeight="false" outlineLevel="1" collapsed="false">
      <c r="B158" s="29" t="s">
        <v>48</v>
      </c>
      <c r="C158" s="31" t="n">
        <v>10823.1707685938</v>
      </c>
      <c r="D158" s="31" t="n">
        <v>20325.2148500625</v>
      </c>
      <c r="E158" s="31" t="n">
        <v>20514.298037625</v>
      </c>
      <c r="F158" s="31" t="n">
        <v>27310.2424737188</v>
      </c>
      <c r="G158" s="31" t="n">
        <v>29575.55728575</v>
      </c>
    </row>
    <row r="159" customFormat="false" ht="12.65" hidden="false" customHeight="false" outlineLevel="1" collapsed="false">
      <c r="B159" s="29" t="s">
        <v>49</v>
      </c>
      <c r="C159" s="31" t="n">
        <v>26072.4912328125</v>
      </c>
      <c r="D159" s="31" t="n">
        <v>27158.8450341797</v>
      </c>
      <c r="E159" s="31" t="n">
        <v>30417.9064382813</v>
      </c>
      <c r="F159" s="31" t="n">
        <v>43454.1520546875</v>
      </c>
      <c r="G159" s="31" t="n">
        <v>65181.2280820313</v>
      </c>
    </row>
    <row r="160" customFormat="false" ht="12.65" hidden="false" customHeight="false" outlineLevel="1" collapsed="false">
      <c r="B160" s="29" t="s">
        <v>50</v>
      </c>
      <c r="C160" s="31" t="n">
        <v>10372.00744125</v>
      </c>
      <c r="D160" s="31" t="n">
        <v>11730.84883425</v>
      </c>
      <c r="E160" s="31" t="n">
        <v>12841.5330225</v>
      </c>
      <c r="F160" s="31" t="n">
        <v>14200.3744155</v>
      </c>
      <c r="G160" s="31" t="n">
        <v>18521.441859375</v>
      </c>
    </row>
    <row r="161" customFormat="false" ht="12.65" hidden="false" customHeight="false" outlineLevel="0" collapsed="false"/>
    <row r="162" customFormat="false" ht="15" hidden="false" customHeight="false" outlineLevel="0" collapsed="false">
      <c r="A162" s="15" t="s">
        <v>60</v>
      </c>
      <c r="B162" s="32"/>
      <c r="C162" s="32"/>
      <c r="D162" s="32"/>
      <c r="E162" s="33"/>
      <c r="F162" s="33"/>
      <c r="G162" s="33"/>
    </row>
    <row r="163" s="9" customFormat="true" ht="12.75" hidden="false" customHeight="false" outlineLevel="1" collapsed="false">
      <c r="B163" s="24" t="s">
        <v>36</v>
      </c>
      <c r="C163" s="25" t="s">
        <v>37</v>
      </c>
      <c r="D163" s="25" t="s">
        <v>38</v>
      </c>
    </row>
    <row r="164" s="9" customFormat="true" ht="15" hidden="false" customHeight="true" outlineLevel="1" collapsed="false">
      <c r="B164" s="26" t="s">
        <v>45</v>
      </c>
      <c r="C164" s="27"/>
      <c r="D164" s="28"/>
    </row>
    <row r="165" s="9" customFormat="true" ht="12.75" hidden="false" customHeight="false" outlineLevel="1" collapsed="false">
      <c r="B165" s="29" t="s">
        <v>48</v>
      </c>
      <c r="C165" s="31" t="n">
        <v>8936.0223316875</v>
      </c>
      <c r="D165" s="31" t="n">
        <v>16738.7733509063</v>
      </c>
    </row>
    <row r="166" s="9" customFormat="true" ht="12.75" hidden="false" customHeight="false" outlineLevel="1" collapsed="false">
      <c r="B166" s="29" t="s">
        <v>49</v>
      </c>
      <c r="C166" s="31" t="n">
        <v>21509.8052670703</v>
      </c>
      <c r="D166" s="31" t="n">
        <v>22432.9410338906</v>
      </c>
    </row>
    <row r="167" s="9" customFormat="true" ht="12.75" hidden="false" customHeight="false" outlineLevel="1" collapsed="false">
      <c r="B167" s="29" t="s">
        <v>50</v>
      </c>
      <c r="C167" s="31" t="n">
        <v>8581.9025565</v>
      </c>
      <c r="D167" s="31" t="n">
        <v>9692.58674475</v>
      </c>
    </row>
    <row r="168" s="9" customFormat="true" ht="13.5" hidden="false" customHeight="true" outlineLevel="1" collapsed="false">
      <c r="B168" s="26" t="s">
        <v>56</v>
      </c>
      <c r="C168" s="27"/>
      <c r="D168" s="28"/>
    </row>
    <row r="169" s="9" customFormat="true" ht="12.75" hidden="false" customHeight="false" outlineLevel="1" collapsed="false">
      <c r="B169" s="29" t="s">
        <v>48</v>
      </c>
      <c r="C169" s="31" t="n">
        <v>15668.1204966563</v>
      </c>
      <c r="D169" s="31" t="n">
        <v>29260.0093688438</v>
      </c>
    </row>
    <row r="170" s="9" customFormat="true" ht="12.75" hidden="false" customHeight="false" outlineLevel="1" collapsed="false">
      <c r="B170" s="29" t="s">
        <v>49</v>
      </c>
      <c r="C170" s="31" t="n">
        <v>37641.8942530313</v>
      </c>
      <c r="D170" s="31" t="n">
        <v>39271.9548837656</v>
      </c>
    </row>
    <row r="171" s="9" customFormat="true" ht="12.75" hidden="false" customHeight="false" outlineLevel="1" collapsed="false">
      <c r="B171" s="29" t="s">
        <v>50</v>
      </c>
      <c r="C171" s="31" t="n">
        <v>15002.66906775</v>
      </c>
      <c r="D171" s="31" t="n">
        <v>16916.852554875</v>
      </c>
    </row>
    <row r="172" s="9" customFormat="true" ht="13.5" hidden="false" customHeight="true" outlineLevel="1" collapsed="false">
      <c r="B172" s="26" t="s">
        <v>54</v>
      </c>
      <c r="C172" s="27"/>
      <c r="D172" s="28"/>
    </row>
    <row r="173" s="9" customFormat="true" ht="12.65" hidden="false" customHeight="false" outlineLevel="1" collapsed="false">
      <c r="B173" s="29" t="s">
        <v>48</v>
      </c>
      <c r="C173" s="31" t="n">
        <v>17870.8168504688</v>
      </c>
      <c r="D173" s="31" t="n">
        <v>33538.937347125</v>
      </c>
    </row>
    <row r="174" s="9" customFormat="true" ht="12.65" hidden="false" customHeight="false" outlineLevel="1" collapsed="false">
      <c r="B174" s="29" t="s">
        <v>49</v>
      </c>
      <c r="C174" s="31" t="n">
        <v>43019.6105341406</v>
      </c>
      <c r="D174" s="31" t="n">
        <v>44811.8293420547</v>
      </c>
    </row>
    <row r="175" s="9" customFormat="true" ht="12.65" hidden="false" customHeight="false" outlineLevel="1" collapsed="false">
      <c r="B175" s="29" t="s">
        <v>50</v>
      </c>
      <c r="C175" s="31" t="n">
        <v>17462.557476</v>
      </c>
      <c r="D175" s="31" t="n">
        <v>19386.378136125</v>
      </c>
    </row>
    <row r="176" s="9" customFormat="true" ht="12.65" hidden="false" customHeight="false" outlineLevel="0" collapsed="false"/>
    <row r="177" customFormat="false" ht="15" hidden="false" customHeight="true" outlineLevel="0" collapsed="false">
      <c r="A177" s="15" t="s">
        <v>61</v>
      </c>
      <c r="B177" s="32"/>
      <c r="C177" s="32"/>
      <c r="D177" s="32"/>
      <c r="E177" s="32"/>
      <c r="F177" s="32"/>
      <c r="G177" s="32"/>
      <c r="I177" s="33"/>
      <c r="J177" s="33"/>
    </row>
    <row r="178" customFormat="false" ht="15" hidden="false" customHeight="true" outlineLevel="1" collapsed="false">
      <c r="B178" s="35" t="s">
        <v>36</v>
      </c>
      <c r="C178" s="36" t="s">
        <v>62</v>
      </c>
      <c r="D178" s="36" t="s">
        <v>63</v>
      </c>
      <c r="E178" s="36" t="s">
        <v>64</v>
      </c>
      <c r="F178" s="36" t="s">
        <v>65</v>
      </c>
      <c r="G178" s="36" t="s">
        <v>66</v>
      </c>
    </row>
    <row r="179" customFormat="false" ht="13.5" hidden="false" customHeight="true" outlineLevel="1" collapsed="false">
      <c r="B179" s="26" t="s">
        <v>45</v>
      </c>
      <c r="C179" s="27"/>
      <c r="D179" s="27"/>
      <c r="E179" s="27"/>
      <c r="F179" s="27"/>
      <c r="G179" s="28"/>
      <c r="I179" s="34"/>
      <c r="J179" s="34"/>
    </row>
    <row r="180" customFormat="false" ht="12.75" hidden="false" customHeight="false" outlineLevel="1" collapsed="false">
      <c r="B180" s="37" t="s">
        <v>46</v>
      </c>
      <c r="C180" s="38" t="n">
        <v>14773</v>
      </c>
      <c r="D180" s="38" t="n">
        <v>19943</v>
      </c>
      <c r="E180" s="38" t="n">
        <v>21938</v>
      </c>
      <c r="F180" s="38" t="n">
        <v>26325</v>
      </c>
      <c r="G180" s="38" t="n">
        <v>54550</v>
      </c>
    </row>
    <row r="181" customFormat="false" ht="12.75" hidden="false" customHeight="false" outlineLevel="1" collapsed="false">
      <c r="B181" s="37" t="s">
        <v>47</v>
      </c>
      <c r="C181" s="38" t="n">
        <v>17</v>
      </c>
      <c r="D181" s="38" t="n">
        <v>23</v>
      </c>
      <c r="E181" s="38" t="n">
        <v>26</v>
      </c>
      <c r="F181" s="38" t="n">
        <v>31</v>
      </c>
      <c r="G181" s="38" t="n">
        <v>63</v>
      </c>
    </row>
    <row r="182" customFormat="false" ht="12.75" hidden="false" customHeight="false" outlineLevel="1" collapsed="false">
      <c r="B182" s="39" t="s">
        <v>48</v>
      </c>
      <c r="C182" s="31" t="n">
        <v>40715.5037841563</v>
      </c>
      <c r="D182" s="31" t="n">
        <v>54965.5003740938</v>
      </c>
      <c r="E182" s="31" t="n">
        <v>60462.418755375</v>
      </c>
      <c r="F182" s="31" t="n">
        <v>72555.1480690313</v>
      </c>
      <c r="G182" s="31" t="n">
        <v>150028.9146405</v>
      </c>
    </row>
    <row r="183" customFormat="false" ht="13.5" hidden="false" customHeight="true" outlineLevel="1" collapsed="false">
      <c r="B183" s="29" t="s">
        <v>49</v>
      </c>
      <c r="C183" s="31" t="n">
        <v>52719.4251586406</v>
      </c>
      <c r="D183" s="31" t="n">
        <v>71170.4820640078</v>
      </c>
      <c r="E183" s="31" t="n">
        <v>78287.4242846719</v>
      </c>
      <c r="F183" s="31" t="n">
        <v>93945.7570275</v>
      </c>
      <c r="G183" s="31" t="n">
        <v>194259.137117063</v>
      </c>
    </row>
    <row r="184" customFormat="false" ht="12.75" hidden="false" customHeight="false" outlineLevel="1" collapsed="false">
      <c r="B184" s="29" t="s">
        <v>50</v>
      </c>
      <c r="C184" s="31" t="n">
        <v>5390.793646875</v>
      </c>
      <c r="D184" s="31" t="n">
        <v>6866.4857625</v>
      </c>
      <c r="E184" s="31" t="n">
        <v>7468.809075</v>
      </c>
      <c r="F184" s="31" t="n">
        <v>7830.2030625</v>
      </c>
      <c r="G184" s="31" t="n">
        <v>30457.080619875</v>
      </c>
    </row>
    <row r="185" customFormat="false" ht="12.75" hidden="false" customHeight="false" outlineLevel="1" collapsed="false">
      <c r="B185" s="29" t="s">
        <v>51</v>
      </c>
      <c r="C185" s="31" t="n">
        <v>27557.4961935</v>
      </c>
      <c r="D185" s="31" t="n">
        <v>37203.101719875</v>
      </c>
      <c r="E185" s="31" t="n">
        <v>41449.481073</v>
      </c>
      <c r="F185" s="31" t="n">
        <v>49739.85914625</v>
      </c>
      <c r="G185" s="31" t="n">
        <v>101922.741648</v>
      </c>
    </row>
    <row r="186" customFormat="false" ht="13.5" hidden="false" customHeight="true" outlineLevel="1" collapsed="false">
      <c r="B186" s="26" t="s">
        <v>56</v>
      </c>
      <c r="C186" s="27"/>
      <c r="D186" s="27"/>
      <c r="E186" s="27"/>
      <c r="F186" s="27"/>
      <c r="G186" s="28"/>
      <c r="I186" s="34"/>
      <c r="J186" s="34"/>
    </row>
    <row r="187" customFormat="false" ht="12.75" hidden="false" customHeight="false" outlineLevel="1" collapsed="false">
      <c r="B187" s="37" t="s">
        <v>46</v>
      </c>
      <c r="C187" s="38" t="n">
        <v>25126</v>
      </c>
      <c r="D187" s="38" t="n">
        <v>33920</v>
      </c>
      <c r="E187" s="38" t="n">
        <v>37313</v>
      </c>
      <c r="F187" s="38" t="n">
        <v>44775</v>
      </c>
      <c r="G187" s="38" t="n">
        <v>156450</v>
      </c>
    </row>
    <row r="188" customFormat="false" ht="12.75" hidden="false" customHeight="false" outlineLevel="1" collapsed="false">
      <c r="B188" s="37" t="s">
        <v>47</v>
      </c>
      <c r="C188" s="38" t="n">
        <v>23</v>
      </c>
      <c r="D188" s="38" t="n">
        <v>31</v>
      </c>
      <c r="E188" s="38" t="n">
        <v>34</v>
      </c>
      <c r="F188" s="38" t="n">
        <v>41</v>
      </c>
      <c r="G188" s="38" t="n">
        <v>90</v>
      </c>
    </row>
    <row r="189" customFormat="false" ht="12.75" hidden="false" customHeight="false" outlineLevel="1" collapsed="false">
      <c r="B189" s="39" t="s">
        <v>48</v>
      </c>
      <c r="C189" s="31" t="n">
        <v>69251.1035383125</v>
      </c>
      <c r="D189" s="31" t="n">
        <v>93489.3581205938</v>
      </c>
      <c r="E189" s="31" t="n">
        <v>102837.925588781</v>
      </c>
      <c r="F189" s="31" t="n">
        <v>123406.247394281</v>
      </c>
      <c r="G189" s="31" t="n">
        <v>430284.5773695</v>
      </c>
    </row>
    <row r="190" customFormat="false" ht="12.75" hidden="false" customHeight="false" outlineLevel="1" collapsed="false">
      <c r="B190" s="29" t="s">
        <v>49</v>
      </c>
      <c r="C190" s="31" t="n">
        <v>89667.1128361641</v>
      </c>
      <c r="D190" s="31" t="n">
        <v>121050.549335953</v>
      </c>
      <c r="E190" s="31" t="n">
        <v>133156.240183969</v>
      </c>
      <c r="F190" s="31" t="n">
        <v>159787.276249289</v>
      </c>
      <c r="G190" s="31" t="n">
        <v>557137.341924188</v>
      </c>
    </row>
    <row r="191" customFormat="false" ht="12.75" hidden="false" customHeight="false" outlineLevel="1" collapsed="false">
      <c r="B191" s="29" t="s">
        <v>50</v>
      </c>
      <c r="C191" s="31" t="n">
        <v>6738.79322025</v>
      </c>
      <c r="D191" s="31" t="n">
        <v>8583.107203125</v>
      </c>
      <c r="E191" s="31" t="n">
        <v>9336.01134375</v>
      </c>
      <c r="F191" s="31" t="n">
        <v>9787.753828125</v>
      </c>
      <c r="G191" s="31" t="n">
        <v>30457.080619875</v>
      </c>
    </row>
    <row r="192" customFormat="false" ht="12.75" hidden="false" customHeight="false" outlineLevel="1" collapsed="false">
      <c r="B192" s="29" t="s">
        <v>51</v>
      </c>
      <c r="C192" s="31" t="n">
        <v>37103.11605</v>
      </c>
      <c r="D192" s="31" t="n">
        <v>50088.002020875</v>
      </c>
      <c r="E192" s="31" t="n">
        <v>55096.922687625</v>
      </c>
      <c r="F192" s="31" t="n">
        <v>66117.030013125</v>
      </c>
      <c r="G192" s="31" t="n">
        <v>145628.525849625</v>
      </c>
    </row>
    <row r="193" customFormat="false" ht="13.5" hidden="false" customHeight="true" outlineLevel="1" collapsed="false">
      <c r="B193" s="26" t="s">
        <v>53</v>
      </c>
      <c r="C193" s="27"/>
      <c r="D193" s="27"/>
      <c r="E193" s="27"/>
      <c r="F193" s="27"/>
      <c r="G193" s="28"/>
      <c r="I193" s="34"/>
      <c r="J193" s="34"/>
    </row>
    <row r="194" customFormat="false" ht="12.75" hidden="false" customHeight="false" outlineLevel="1" collapsed="false">
      <c r="B194" s="37" t="s">
        <v>46</v>
      </c>
      <c r="C194" s="38" t="n">
        <v>28072</v>
      </c>
      <c r="D194" s="38" t="n">
        <v>37898</v>
      </c>
      <c r="E194" s="38" t="n">
        <v>41688</v>
      </c>
      <c r="F194" s="38" t="n">
        <v>50025</v>
      </c>
      <c r="G194" s="38" t="n">
        <v>162409</v>
      </c>
    </row>
    <row r="195" customFormat="false" ht="12.75" hidden="false" customHeight="false" outlineLevel="1" collapsed="false">
      <c r="B195" s="37" t="s">
        <v>47</v>
      </c>
      <c r="C195" s="38" t="n">
        <v>25</v>
      </c>
      <c r="D195" s="38" t="n">
        <v>34</v>
      </c>
      <c r="E195" s="38" t="n">
        <v>38</v>
      </c>
      <c r="F195" s="38" t="n">
        <v>45</v>
      </c>
      <c r="G195" s="38" t="n">
        <v>168</v>
      </c>
    </row>
    <row r="196" customFormat="false" ht="12.75" hidden="false" customHeight="false" outlineLevel="1" collapsed="false">
      <c r="B196" s="39" t="s">
        <v>48</v>
      </c>
      <c r="C196" s="31" t="n">
        <v>77370.6302873438</v>
      </c>
      <c r="D196" s="31" t="n">
        <v>104451.271747594</v>
      </c>
      <c r="E196" s="31" t="n">
        <v>114896.276141063</v>
      </c>
      <c r="F196" s="31" t="n">
        <v>137876.022494438</v>
      </c>
      <c r="G196" s="31" t="n">
        <v>446673.424042125</v>
      </c>
    </row>
    <row r="197" customFormat="false" ht="12.75" hidden="false" customHeight="false" outlineLevel="1" collapsed="false">
      <c r="B197" s="29" t="s">
        <v>49</v>
      </c>
      <c r="C197" s="31" t="n">
        <v>100180.897918664</v>
      </c>
      <c r="D197" s="31" t="n">
        <v>135244.159197328</v>
      </c>
      <c r="E197" s="31" t="n">
        <v>148768.999060008</v>
      </c>
      <c r="F197" s="31" t="n">
        <v>178522.374929063</v>
      </c>
      <c r="G197" s="31" t="n">
        <v>578356.746272649</v>
      </c>
    </row>
    <row r="198" customFormat="false" ht="12.75" hidden="false" customHeight="false" outlineLevel="1" collapsed="false">
      <c r="B198" s="29" t="s">
        <v>50</v>
      </c>
      <c r="C198" s="31" t="n">
        <v>10631.006465625</v>
      </c>
      <c r="D198" s="31" t="n">
        <v>25749.321609375</v>
      </c>
      <c r="E198" s="31" t="n">
        <v>28008.03403125</v>
      </c>
      <c r="F198" s="31" t="n">
        <v>29363.261484375</v>
      </c>
      <c r="G198" s="31" t="n">
        <v>121825.91318625</v>
      </c>
    </row>
    <row r="199" customFormat="false" ht="12.75" hidden="false" customHeight="false" outlineLevel="1" collapsed="false">
      <c r="B199" s="29" t="s">
        <v>51</v>
      </c>
      <c r="C199" s="31" t="n">
        <v>40847.1577605</v>
      </c>
      <c r="D199" s="31" t="n">
        <v>55143.903906</v>
      </c>
      <c r="E199" s="31" t="n">
        <v>60657.571508625</v>
      </c>
      <c r="F199" s="31" t="n">
        <v>72789.567669</v>
      </c>
      <c r="G199" s="31" t="n">
        <v>271794.78082575</v>
      </c>
    </row>
    <row r="200" customFormat="false" ht="13.5" hidden="false" customHeight="true" outlineLevel="1" collapsed="false">
      <c r="B200" s="26" t="s">
        <v>54</v>
      </c>
      <c r="C200" s="27"/>
      <c r="D200" s="27"/>
      <c r="E200" s="27"/>
      <c r="F200" s="27"/>
      <c r="G200" s="28"/>
      <c r="I200" s="34"/>
      <c r="J200" s="34"/>
    </row>
    <row r="201" customFormat="false" ht="12.65" hidden="false" customHeight="false" outlineLevel="1" collapsed="false">
      <c r="B201" s="37" t="s">
        <v>46</v>
      </c>
      <c r="C201" s="38" t="n">
        <v>33965</v>
      </c>
      <c r="D201" s="38" t="n">
        <v>45852</v>
      </c>
      <c r="E201" s="38" t="n">
        <v>50438</v>
      </c>
      <c r="F201" s="38" t="n">
        <v>60525</v>
      </c>
      <c r="G201" s="38" t="n">
        <v>162409</v>
      </c>
    </row>
    <row r="202" customFormat="false" ht="12.65" hidden="false" customHeight="false" outlineLevel="1" collapsed="false">
      <c r="B202" s="37" t="s">
        <v>47</v>
      </c>
      <c r="C202" s="38" t="n">
        <v>30</v>
      </c>
      <c r="D202" s="38" t="n">
        <v>41</v>
      </c>
      <c r="E202" s="38" t="n">
        <v>45</v>
      </c>
      <c r="F202" s="38" t="n">
        <v>54</v>
      </c>
      <c r="G202" s="38" t="n">
        <v>168</v>
      </c>
    </row>
    <row r="203" customFormat="false" ht="12.65" hidden="false" customHeight="false" outlineLevel="1" collapsed="false">
      <c r="B203" s="39" t="s">
        <v>48</v>
      </c>
      <c r="C203" s="31" t="n">
        <v>93610.9115983125</v>
      </c>
      <c r="D203" s="31" t="n">
        <v>126375.099001594</v>
      </c>
      <c r="E203" s="31" t="n">
        <v>139012.977245625</v>
      </c>
      <c r="F203" s="31" t="n">
        <v>166814.344881844</v>
      </c>
      <c r="G203" s="31" t="n">
        <v>446673.424042125</v>
      </c>
    </row>
    <row r="204" customFormat="false" ht="12.65" hidden="false" customHeight="false" outlineLevel="1" collapsed="false">
      <c r="B204" s="29" t="s">
        <v>49</v>
      </c>
      <c r="C204" s="31" t="n">
        <v>121208.468083664</v>
      </c>
      <c r="D204" s="31" t="n">
        <v>163631.378920078</v>
      </c>
      <c r="E204" s="31" t="n">
        <v>179994.516812086</v>
      </c>
      <c r="F204" s="31" t="n">
        <v>215993.632145977</v>
      </c>
      <c r="G204" s="31" t="n">
        <v>578356.746272649</v>
      </c>
    </row>
    <row r="205" customFormat="false" ht="12.65" hidden="false" customHeight="false" outlineLevel="1" collapsed="false">
      <c r="B205" s="29" t="s">
        <v>50</v>
      </c>
      <c r="C205" s="31" t="n">
        <v>10631.006465625</v>
      </c>
      <c r="D205" s="31" t="n">
        <v>25749.321609375</v>
      </c>
      <c r="E205" s="31" t="n">
        <v>28008.03403125</v>
      </c>
      <c r="F205" s="31" t="n">
        <v>29363.261484375</v>
      </c>
      <c r="G205" s="31" t="n">
        <v>121825.91318625</v>
      </c>
    </row>
    <row r="206" customFormat="false" ht="12.65" hidden="false" customHeight="false" outlineLevel="1" collapsed="false">
      <c r="B206" s="29" t="s">
        <v>51</v>
      </c>
      <c r="C206" s="31" t="n">
        <v>49015.866524625</v>
      </c>
      <c r="D206" s="31" t="n">
        <v>66172.443757875</v>
      </c>
      <c r="E206" s="31" t="n">
        <v>72789.567669</v>
      </c>
      <c r="F206" s="31" t="n">
        <v>87347.722132125</v>
      </c>
      <c r="G206" s="31" t="n">
        <v>271794.78082575</v>
      </c>
    </row>
    <row r="207" customFormat="false" ht="12.65" hidden="false" customHeight="false" outlineLevel="0" collapsed="false"/>
    <row r="208" customFormat="false" ht="15" hidden="false" customHeight="true" outlineLevel="0" collapsed="false">
      <c r="A208" s="15" t="s">
        <v>67</v>
      </c>
      <c r="B208" s="32"/>
      <c r="C208" s="32"/>
      <c r="D208" s="32"/>
      <c r="E208" s="32"/>
      <c r="F208" s="32"/>
      <c r="G208" s="32"/>
      <c r="I208" s="33"/>
      <c r="J208" s="33"/>
    </row>
    <row r="209" customFormat="false" ht="15" hidden="false" customHeight="true" outlineLevel="1" collapsed="false">
      <c r="B209" s="35" t="s">
        <v>36</v>
      </c>
      <c r="C209" s="36" t="s">
        <v>62</v>
      </c>
      <c r="D209" s="36" t="s">
        <v>63</v>
      </c>
      <c r="E209" s="36" t="s">
        <v>64</v>
      </c>
      <c r="F209" s="36" t="s">
        <v>65</v>
      </c>
      <c r="G209" s="36" t="s">
        <v>66</v>
      </c>
    </row>
    <row r="210" customFormat="false" ht="13.5" hidden="false" customHeight="true" outlineLevel="1" collapsed="false">
      <c r="B210" s="26" t="s">
        <v>45</v>
      </c>
      <c r="C210" s="27"/>
      <c r="D210" s="27"/>
      <c r="E210" s="27"/>
      <c r="F210" s="27"/>
      <c r="G210" s="28"/>
      <c r="I210" s="34"/>
      <c r="J210" s="34"/>
    </row>
    <row r="211" customFormat="false" ht="12.75" hidden="false" customHeight="false" outlineLevel="1" collapsed="false">
      <c r="B211" s="37" t="s">
        <v>46</v>
      </c>
      <c r="C211" s="38" t="n">
        <v>10227</v>
      </c>
      <c r="D211" s="38" t="n">
        <v>15341</v>
      </c>
      <c r="E211" s="38" t="n">
        <v>16875</v>
      </c>
      <c r="F211" s="38" t="n">
        <v>20250</v>
      </c>
      <c r="G211" s="38" t="n">
        <v>36036</v>
      </c>
    </row>
    <row r="212" customFormat="false" ht="12.75" hidden="false" customHeight="false" outlineLevel="1" collapsed="false">
      <c r="B212" s="37" t="s">
        <v>47</v>
      </c>
      <c r="C212" s="38" t="n">
        <v>13</v>
      </c>
      <c r="D212" s="38" t="n">
        <v>19</v>
      </c>
      <c r="E212" s="38" t="n">
        <v>21</v>
      </c>
      <c r="F212" s="38" t="n">
        <v>25</v>
      </c>
      <c r="G212" s="38" t="n">
        <v>43</v>
      </c>
    </row>
    <row r="213" customFormat="false" ht="12.75" hidden="false" customHeight="false" outlineLevel="1" collapsed="false">
      <c r="B213" s="39" t="s">
        <v>48</v>
      </c>
      <c r="C213" s="31" t="n">
        <v>23425.4424383438</v>
      </c>
      <c r="D213" s="31" t="n">
        <v>35137.5497510625</v>
      </c>
      <c r="E213" s="31" t="n">
        <v>38651.55028875</v>
      </c>
      <c r="F213" s="31" t="n">
        <v>46381.8603465</v>
      </c>
      <c r="G213" s="31" t="n">
        <v>141673.647813469</v>
      </c>
    </row>
    <row r="214" customFormat="false" ht="13.5" hidden="false" customHeight="true" outlineLevel="1" collapsed="false">
      <c r="B214" s="29" t="s">
        <v>49</v>
      </c>
      <c r="C214" s="31" t="n">
        <v>30330.9981341719</v>
      </c>
      <c r="D214" s="31" t="n">
        <v>45497.557058625</v>
      </c>
      <c r="E214" s="31" t="n">
        <v>50046.4648785938</v>
      </c>
      <c r="F214" s="31" t="n">
        <v>60056.8177116797</v>
      </c>
      <c r="G214" s="31" t="n">
        <v>183441.17297018</v>
      </c>
    </row>
    <row r="215" customFormat="false" ht="12.75" hidden="false" customHeight="false" outlineLevel="1" collapsed="false">
      <c r="B215" s="29" t="s">
        <v>50</v>
      </c>
      <c r="C215" s="31" t="n">
        <v>5390.793646875</v>
      </c>
      <c r="D215" s="31" t="n">
        <v>6866.4857625</v>
      </c>
      <c r="E215" s="31" t="n">
        <v>7468.809075</v>
      </c>
      <c r="F215" s="31" t="n">
        <v>7830.2030625</v>
      </c>
      <c r="G215" s="31" t="n">
        <v>19979.064275625</v>
      </c>
    </row>
    <row r="216" customFormat="false" ht="12.75" hidden="false" customHeight="false" outlineLevel="1" collapsed="false">
      <c r="B216" s="29" t="s">
        <v>51</v>
      </c>
      <c r="C216" s="31" t="n">
        <v>20525.973843375</v>
      </c>
      <c r="D216" s="31" t="n">
        <v>30788.35844175</v>
      </c>
      <c r="E216" s="31" t="n">
        <v>33867.43521525</v>
      </c>
      <c r="F216" s="31" t="n">
        <v>40641.163187625</v>
      </c>
      <c r="G216" s="31" t="n">
        <v>82576.1168505</v>
      </c>
    </row>
    <row r="217" customFormat="false" ht="13.5" hidden="false" customHeight="true" outlineLevel="1" collapsed="false">
      <c r="B217" s="26" t="s">
        <v>56</v>
      </c>
      <c r="C217" s="27"/>
      <c r="D217" s="27"/>
      <c r="E217" s="27"/>
      <c r="F217" s="27"/>
      <c r="G217" s="28"/>
      <c r="I217" s="34"/>
      <c r="J217" s="34"/>
    </row>
    <row r="218" customFormat="false" ht="12.75" hidden="false" customHeight="false" outlineLevel="1" collapsed="false">
      <c r="B218" s="37" t="s">
        <v>46</v>
      </c>
      <c r="C218" s="38" t="n">
        <v>16751</v>
      </c>
      <c r="D218" s="38" t="n">
        <v>22614</v>
      </c>
      <c r="E218" s="38" t="n">
        <v>24875</v>
      </c>
      <c r="F218" s="38" t="n">
        <v>29850</v>
      </c>
      <c r="G218" s="38" t="n">
        <v>93870</v>
      </c>
    </row>
    <row r="219" customFormat="false" ht="12.75" hidden="false" customHeight="false" outlineLevel="1" collapsed="false">
      <c r="B219" s="37" t="s">
        <v>47</v>
      </c>
      <c r="C219" s="38" t="n">
        <v>31</v>
      </c>
      <c r="D219" s="38" t="n">
        <v>41</v>
      </c>
      <c r="E219" s="38" t="n">
        <v>45</v>
      </c>
      <c r="F219" s="38" t="n">
        <v>54</v>
      </c>
      <c r="G219" s="38" t="n">
        <v>90</v>
      </c>
    </row>
    <row r="220" customFormat="false" ht="12.75" hidden="false" customHeight="false" outlineLevel="1" collapsed="false">
      <c r="B220" s="39" t="s">
        <v>48</v>
      </c>
      <c r="C220" s="31" t="n">
        <v>38367.9255074063</v>
      </c>
      <c r="D220" s="31" t="n">
        <v>51796.5152630625</v>
      </c>
      <c r="E220" s="31" t="n">
        <v>56975.430101625</v>
      </c>
      <c r="F220" s="31" t="n">
        <v>68370.7616845313</v>
      </c>
      <c r="G220" s="31" t="n">
        <v>251879.678652656</v>
      </c>
    </row>
    <row r="221" customFormat="false" ht="12.75" hidden="false" customHeight="false" outlineLevel="1" collapsed="false">
      <c r="B221" s="29" t="s">
        <v>49</v>
      </c>
      <c r="C221" s="31" t="n">
        <v>49678.6943721797</v>
      </c>
      <c r="D221" s="31" t="n">
        <v>67066.7143382578</v>
      </c>
      <c r="E221" s="31" t="n">
        <v>73772.4319004531</v>
      </c>
      <c r="F221" s="31" t="n">
        <v>88527.7661664375</v>
      </c>
      <c r="G221" s="31" t="n">
        <v>326130.830172</v>
      </c>
    </row>
    <row r="222" customFormat="false" ht="12.75" hidden="false" customHeight="false" outlineLevel="1" collapsed="false">
      <c r="B222" s="29" t="s">
        <v>50</v>
      </c>
      <c r="C222" s="31" t="n">
        <v>6738.79322025</v>
      </c>
      <c r="D222" s="31" t="n">
        <v>8583.107203125</v>
      </c>
      <c r="E222" s="31" t="n">
        <v>9336.01134375</v>
      </c>
      <c r="F222" s="31" t="n">
        <v>9787.753828125</v>
      </c>
      <c r="G222" s="31" t="n">
        <v>21154.799381625</v>
      </c>
    </row>
    <row r="223" customFormat="false" ht="12.75" hidden="false" customHeight="false" outlineLevel="1" collapsed="false">
      <c r="B223" s="29" t="s">
        <v>51</v>
      </c>
      <c r="C223" s="31" t="n">
        <v>49356.7815195</v>
      </c>
      <c r="D223" s="31" t="n">
        <v>66631.414122</v>
      </c>
      <c r="E223" s="31" t="n">
        <v>73294.314604875</v>
      </c>
      <c r="F223" s="31" t="n">
        <v>87953.6593845</v>
      </c>
      <c r="G223" s="31" t="n">
        <v>174626.779406625</v>
      </c>
    </row>
    <row r="224" customFormat="false" ht="13.5" hidden="false" customHeight="true" outlineLevel="1" collapsed="false">
      <c r="B224" s="26" t="s">
        <v>53</v>
      </c>
      <c r="C224" s="27"/>
      <c r="D224" s="27"/>
      <c r="E224" s="27"/>
      <c r="F224" s="27"/>
      <c r="G224" s="28"/>
      <c r="I224" s="34"/>
      <c r="J224" s="34"/>
    </row>
    <row r="225" customFormat="false" ht="12.75" hidden="false" customHeight="false" outlineLevel="1" collapsed="false">
      <c r="B225" s="37" t="s">
        <v>46</v>
      </c>
      <c r="C225" s="38" t="n">
        <v>19318</v>
      </c>
      <c r="D225" s="38" t="n">
        <v>26080</v>
      </c>
      <c r="E225" s="38" t="n">
        <v>28688</v>
      </c>
      <c r="F225" s="38" t="n">
        <v>34425</v>
      </c>
      <c r="G225" s="38" t="n">
        <v>113687</v>
      </c>
    </row>
    <row r="226" customFormat="false" ht="12.75" hidden="false" customHeight="false" outlineLevel="1" collapsed="false">
      <c r="B226" s="37" t="s">
        <v>47</v>
      </c>
      <c r="C226" s="38" t="n">
        <v>40</v>
      </c>
      <c r="D226" s="38" t="n">
        <v>55</v>
      </c>
      <c r="E226" s="38" t="n">
        <v>60</v>
      </c>
      <c r="F226" s="38" t="n">
        <v>72</v>
      </c>
      <c r="G226" s="38" t="n">
        <v>176</v>
      </c>
    </row>
    <row r="227" customFormat="false" ht="12.75" hidden="false" customHeight="false" outlineLevel="1" collapsed="false">
      <c r="B227" s="39" t="s">
        <v>48</v>
      </c>
      <c r="C227" s="31" t="n">
        <v>44247.9215154375</v>
      </c>
      <c r="D227" s="31" t="n">
        <v>59734.3257019688</v>
      </c>
      <c r="E227" s="31" t="n">
        <v>65708.8633037813</v>
      </c>
      <c r="F227" s="31" t="n">
        <v>78850.144839375</v>
      </c>
      <c r="G227" s="31" t="n">
        <v>305046.433119094</v>
      </c>
    </row>
    <row r="228" customFormat="false" ht="12.75" hidden="false" customHeight="false" outlineLevel="1" collapsed="false">
      <c r="B228" s="29" t="s">
        <v>49</v>
      </c>
      <c r="C228" s="31" t="n">
        <v>57292.7096980547</v>
      </c>
      <c r="D228" s="31" t="n">
        <v>77345.2110852422</v>
      </c>
      <c r="E228" s="31" t="n">
        <v>85080.0501509766</v>
      </c>
      <c r="F228" s="31" t="n">
        <v>102096.060181172</v>
      </c>
      <c r="G228" s="31" t="n">
        <v>394977.045029766</v>
      </c>
    </row>
    <row r="229" customFormat="false" ht="12.75" hidden="false" customHeight="false" outlineLevel="1" collapsed="false">
      <c r="B229" s="29" t="s">
        <v>50</v>
      </c>
      <c r="C229" s="31" t="n">
        <v>10631.006465625</v>
      </c>
      <c r="D229" s="31" t="n">
        <v>25749.321609375</v>
      </c>
      <c r="E229" s="31" t="n">
        <v>28008.03403125</v>
      </c>
      <c r="F229" s="31" t="n">
        <v>29363.261484375</v>
      </c>
      <c r="G229" s="31" t="n">
        <v>103893.5435265</v>
      </c>
    </row>
    <row r="230" customFormat="false" ht="12.75" hidden="false" customHeight="false" outlineLevel="1" collapsed="false">
      <c r="B230" s="29" t="s">
        <v>51</v>
      </c>
      <c r="C230" s="31" t="n">
        <v>65355.693346125</v>
      </c>
      <c r="D230" s="31" t="n">
        <v>88229.523461625</v>
      </c>
      <c r="E230" s="31" t="n">
        <v>97052.355343125</v>
      </c>
      <c r="F230" s="31" t="n">
        <v>116462.82641175</v>
      </c>
      <c r="G230" s="31" t="n">
        <v>338774.337822375</v>
      </c>
    </row>
    <row r="231" customFormat="false" ht="13.5" hidden="false" customHeight="true" outlineLevel="1" collapsed="false">
      <c r="B231" s="26" t="s">
        <v>54</v>
      </c>
      <c r="C231" s="27"/>
      <c r="D231" s="27"/>
      <c r="E231" s="27"/>
      <c r="F231" s="27"/>
      <c r="G231" s="28"/>
      <c r="I231" s="34"/>
      <c r="J231" s="34"/>
    </row>
    <row r="232" customFormat="false" ht="12.65" hidden="false" customHeight="false" outlineLevel="1" collapsed="false">
      <c r="B232" s="37" t="s">
        <v>46</v>
      </c>
      <c r="C232" s="38" t="n">
        <v>25000</v>
      </c>
      <c r="D232" s="38" t="n">
        <v>33750</v>
      </c>
      <c r="E232" s="38" t="n">
        <v>37125</v>
      </c>
      <c r="F232" s="38" t="n">
        <v>44550</v>
      </c>
      <c r="G232" s="38" t="n">
        <v>113687</v>
      </c>
    </row>
    <row r="233" customFormat="false" ht="12.65" hidden="false" customHeight="false" outlineLevel="1" collapsed="false">
      <c r="B233" s="37" t="s">
        <v>47</v>
      </c>
      <c r="C233" s="38" t="n">
        <v>74</v>
      </c>
      <c r="D233" s="38" t="n">
        <v>100</v>
      </c>
      <c r="E233" s="38" t="n">
        <v>110</v>
      </c>
      <c r="F233" s="38" t="n">
        <v>132</v>
      </c>
      <c r="G233" s="38" t="n">
        <v>176</v>
      </c>
    </row>
    <row r="234" customFormat="false" ht="12.65" hidden="false" customHeight="false" outlineLevel="1" collapsed="false">
      <c r="B234" s="39" t="s">
        <v>48</v>
      </c>
      <c r="C234" s="31" t="n">
        <v>57262.7383216875</v>
      </c>
      <c r="D234" s="31" t="n">
        <v>77304.3283904063</v>
      </c>
      <c r="E234" s="31" t="n">
        <v>85034.6384481563</v>
      </c>
      <c r="F234" s="31" t="n">
        <v>102041.075012625</v>
      </c>
      <c r="G234" s="31" t="n">
        <v>305046.433119094</v>
      </c>
    </row>
    <row r="235" customFormat="false" ht="12.65" hidden="false" customHeight="false" outlineLevel="1" collapsed="false">
      <c r="B235" s="29" t="s">
        <v>49</v>
      </c>
      <c r="C235" s="31" t="n">
        <v>74143.3819789688</v>
      </c>
      <c r="D235" s="31" t="n">
        <v>100093.989614555</v>
      </c>
      <c r="E235" s="31" t="n">
        <v>110103.282590273</v>
      </c>
      <c r="F235" s="31" t="n">
        <v>132123.939108328</v>
      </c>
      <c r="G235" s="31" t="n">
        <v>394977.045029766</v>
      </c>
    </row>
    <row r="236" customFormat="false" ht="12.65" hidden="false" customHeight="false" outlineLevel="1" collapsed="false">
      <c r="B236" s="29" t="s">
        <v>50</v>
      </c>
      <c r="C236" s="31" t="n">
        <v>10631.006465625</v>
      </c>
      <c r="D236" s="31" t="n">
        <v>25749.321609375</v>
      </c>
      <c r="E236" s="31" t="n">
        <v>28008.03403125</v>
      </c>
      <c r="F236" s="31" t="n">
        <v>29363.261484375</v>
      </c>
      <c r="G236" s="31" t="n">
        <v>103893.5435265</v>
      </c>
    </row>
    <row r="237" customFormat="false" ht="12.65" hidden="false" customHeight="false" outlineLevel="1" collapsed="false">
      <c r="B237" s="29" t="s">
        <v>51</v>
      </c>
      <c r="C237" s="31" t="n">
        <v>119817.767262375</v>
      </c>
      <c r="D237" s="31" t="n">
        <v>161753.925571875</v>
      </c>
      <c r="E237" s="31" t="n">
        <v>177929.920452375</v>
      </c>
      <c r="F237" s="31" t="n">
        <v>213515.181754875</v>
      </c>
      <c r="G237" s="31" t="n">
        <v>338774.337822375</v>
      </c>
    </row>
    <row r="238" customFormat="false" ht="12.65" hidden="false" customHeight="false" outlineLevel="0" collapsed="false"/>
    <row r="239" customFormat="false" ht="12.65" hidden="false" customHeight="false" outlineLevel="0" collapsed="false"/>
    <row r="240" customFormat="false" ht="27" hidden="false" customHeight="true" outlineLevel="0" collapsed="false">
      <c r="A240" s="33" t="s">
        <v>68</v>
      </c>
      <c r="C240" s="40"/>
    </row>
    <row r="241" customFormat="false" ht="12.75" hidden="false" customHeight="false" outlineLevel="1" collapsed="false">
      <c r="B241" s="24" t="s">
        <v>36</v>
      </c>
      <c r="C241" s="41" t="s">
        <v>69</v>
      </c>
    </row>
    <row r="242" customFormat="false" ht="12.75" hidden="false" customHeight="false" outlineLevel="1" collapsed="false">
      <c r="B242" s="29" t="s">
        <v>70</v>
      </c>
      <c r="C242" s="31" t="n">
        <v>5485.8217325625</v>
      </c>
    </row>
    <row r="243" customFormat="false" ht="22" hidden="false" customHeight="false" outlineLevel="1" collapsed="false">
      <c r="B243" s="39" t="s">
        <v>71</v>
      </c>
      <c r="C243" s="31" t="n">
        <v>64027.0434091641</v>
      </c>
    </row>
    <row r="244" customFormat="false" ht="12.65" hidden="false" customHeight="false" outlineLevel="1" collapsed="false">
      <c r="B244" s="29" t="s">
        <v>72</v>
      </c>
      <c r="C244" s="31" t="n">
        <v>51360.6880139063</v>
      </c>
    </row>
    <row r="245" customFormat="false" ht="12.65" hidden="false" customHeight="false" outlineLevel="1" collapsed="false">
      <c r="B245" s="29" t="s">
        <v>73</v>
      </c>
      <c r="C245" s="31" t="n">
        <v>7131.78022380469</v>
      </c>
    </row>
    <row r="246" customFormat="false" ht="12.65" hidden="false" customHeight="false" outlineLevel="0" collapsed="false"/>
    <row r="247" customFormat="false" ht="12.65" hidden="false" customHeight="false" outlineLevel="0" collapsed="false"/>
    <row r="248" customFormat="false" ht="15" hidden="false" customHeight="true" outlineLevel="0" collapsed="false">
      <c r="A248" s="33" t="s">
        <v>74</v>
      </c>
      <c r="B248" s="42"/>
      <c r="C248" s="40"/>
      <c r="D248" s="40"/>
      <c r="E248" s="40"/>
      <c r="F248" s="40"/>
      <c r="G248" s="40"/>
      <c r="H248" s="40"/>
      <c r="I248" s="40"/>
    </row>
    <row r="249" customFormat="false" ht="12.65" hidden="false" customHeight="false" outlineLevel="1" collapsed="false">
      <c r="B249" s="43" t="s">
        <v>36</v>
      </c>
      <c r="C249" s="41" t="s">
        <v>37</v>
      </c>
      <c r="D249" s="41" t="s">
        <v>38</v>
      </c>
      <c r="E249" s="41" t="s">
        <v>39</v>
      </c>
      <c r="F249" s="41" t="s">
        <v>40</v>
      </c>
      <c r="G249" s="41" t="s">
        <v>41</v>
      </c>
      <c r="H249" s="41" t="s">
        <v>42</v>
      </c>
      <c r="I249" s="41" t="s">
        <v>43</v>
      </c>
    </row>
    <row r="250" customFormat="false" ht="12.65" hidden="false" customHeight="false" outlineLevel="1" collapsed="false">
      <c r="B250" s="29" t="s">
        <v>75</v>
      </c>
      <c r="C250" s="31" t="n">
        <v>228431.116265625</v>
      </c>
      <c r="D250" s="31" t="n">
        <v>265835.393971875</v>
      </c>
      <c r="E250" s="31" t="n">
        <v>277821.627890625</v>
      </c>
      <c r="F250" s="31" t="n">
        <v>293256.76509675</v>
      </c>
      <c r="G250" s="31" t="n">
        <v>327212.139515625</v>
      </c>
      <c r="H250" s="31" t="n">
        <v>350803.939019625</v>
      </c>
      <c r="I250" s="44" t="s">
        <v>76</v>
      </c>
    </row>
    <row r="251" customFormat="false" ht="12.65" hidden="false" customHeight="false" outlineLevel="1" collapsed="false">
      <c r="B251" s="29" t="s">
        <v>77</v>
      </c>
      <c r="C251" s="31" t="n">
        <v>370428.8371875</v>
      </c>
      <c r="D251" s="31" t="n">
        <v>425993.162765625</v>
      </c>
      <c r="E251" s="44" t="s">
        <v>76</v>
      </c>
      <c r="F251" s="44" t="s">
        <v>76</v>
      </c>
      <c r="G251" s="44" t="s">
        <v>76</v>
      </c>
      <c r="H251" s="45" t="s">
        <v>76</v>
      </c>
      <c r="I251" s="44" t="s">
        <v>76</v>
      </c>
    </row>
    <row r="252" customFormat="false" ht="12.65" hidden="false" customHeight="false" outlineLevel="0" collapsed="false"/>
    <row r="253" customFormat="false" ht="12.65" hidden="false" customHeight="false" outlineLevel="0" collapsed="false"/>
    <row r="254" customFormat="false" ht="15" hidden="false" customHeight="false" outlineLevel="0" collapsed="false">
      <c r="A254" s="33" t="s">
        <v>78</v>
      </c>
      <c r="C254" s="46"/>
      <c r="D254" s="46"/>
      <c r="E254" s="46"/>
      <c r="F254" s="46"/>
    </row>
    <row r="255" customFormat="false" ht="13.5" hidden="false" customHeight="true" outlineLevel="1" collapsed="false">
      <c r="B255" s="47" t="s">
        <v>79</v>
      </c>
      <c r="C255" s="26" t="s">
        <v>80</v>
      </c>
      <c r="D255" s="28"/>
      <c r="E255" s="47" t="s">
        <v>81</v>
      </c>
      <c r="F255" s="47" t="s">
        <v>82</v>
      </c>
    </row>
    <row r="256" customFormat="false" ht="12.65" hidden="false" customHeight="false" outlineLevel="1" collapsed="false">
      <c r="B256" s="29"/>
      <c r="C256" s="48" t="s">
        <v>83</v>
      </c>
      <c r="D256" s="48" t="s">
        <v>84</v>
      </c>
      <c r="E256" s="29"/>
      <c r="F256" s="29"/>
    </row>
    <row r="257" customFormat="false" ht="12.65" hidden="false" customHeight="false" outlineLevel="1" collapsed="false">
      <c r="B257" s="49" t="s">
        <v>85</v>
      </c>
      <c r="C257" s="31" t="n">
        <v>691.134726614063</v>
      </c>
      <c r="D257" s="31" t="n">
        <v>673.183175273438</v>
      </c>
      <c r="E257" s="31" t="n">
        <v>1600.20508577344</v>
      </c>
      <c r="F257" s="31" t="n">
        <v>298.765104454688</v>
      </c>
    </row>
    <row r="258" customFormat="false" ht="12.65" hidden="false" customHeight="false" outlineLevel="1" collapsed="false">
      <c r="B258" s="49" t="s">
        <v>86</v>
      </c>
      <c r="C258" s="31" t="n">
        <v>833.464883671875</v>
      </c>
      <c r="D258" s="31" t="n">
        <v>861.67446435</v>
      </c>
      <c r="E258" s="31" t="n">
        <v>1984.69122242344</v>
      </c>
      <c r="F258" s="31" t="n">
        <v>298.765104454688</v>
      </c>
    </row>
    <row r="259" customFormat="false" ht="12.65" hidden="false" customHeight="false" outlineLevel="1" collapsed="false">
      <c r="B259" s="49" t="s">
        <v>87</v>
      </c>
      <c r="C259" s="31" t="n">
        <v>737.295858632813</v>
      </c>
      <c r="D259" s="31" t="n">
        <v>821.924600667188</v>
      </c>
      <c r="E259" s="31" t="n">
        <v>1819.75540812188</v>
      </c>
      <c r="F259" s="31" t="n">
        <v>298.765104454688</v>
      </c>
    </row>
    <row r="260" customFormat="false" ht="12.65" hidden="false" customHeight="false" outlineLevel="1" collapsed="false">
      <c r="B260" s="49" t="s">
        <v>88</v>
      </c>
      <c r="C260" s="31" t="n">
        <v>848.851927678125</v>
      </c>
      <c r="D260" s="31" t="n">
        <v>983.488562732813</v>
      </c>
      <c r="E260" s="31" t="n">
        <v>2137.61184495469</v>
      </c>
      <c r="F260" s="31" t="n">
        <v>298.765104454688</v>
      </c>
    </row>
    <row r="261" customFormat="false" ht="12.65" hidden="false" customHeight="false" outlineLevel="1" collapsed="false">
      <c r="B261" s="49" t="s">
        <v>89</v>
      </c>
      <c r="C261" s="31" t="n">
        <v>1059.14152909688</v>
      </c>
      <c r="D261" s="31" t="n">
        <v>1091.19787077656</v>
      </c>
      <c r="E261" s="31" t="n">
        <v>2515.54424063906</v>
      </c>
      <c r="F261" s="31" t="n">
        <v>298.765104454688</v>
      </c>
    </row>
    <row r="262" customFormat="false" ht="12.65" hidden="false" customHeight="false" outlineLevel="1" collapsed="false">
      <c r="B262" s="49" t="s">
        <v>90</v>
      </c>
      <c r="C262" s="31" t="n">
        <v>909.117850035938</v>
      </c>
      <c r="D262" s="31" t="n">
        <v>956.561235721875</v>
      </c>
      <c r="E262" s="31" t="n">
        <v>2182.39574155313</v>
      </c>
      <c r="F262" s="31" t="n">
        <v>298.765104454688</v>
      </c>
    </row>
    <row r="263" customFormat="false" ht="12.65" hidden="false" customHeight="false" outlineLevel="1" collapsed="false">
      <c r="B263" s="49" t="s">
        <v>91</v>
      </c>
      <c r="C263" s="31" t="n">
        <v>1092.48012444375</v>
      </c>
      <c r="D263" s="31" t="n">
        <v>1165.56858347344</v>
      </c>
      <c r="E263" s="31" t="n">
        <v>2638.973028825</v>
      </c>
      <c r="F263" s="31" t="n">
        <v>298.765104454688</v>
      </c>
    </row>
    <row r="264" customFormat="false" ht="12.65" hidden="false" customHeight="false" outlineLevel="1" collapsed="false">
      <c r="B264" s="49" t="s">
        <v>92</v>
      </c>
      <c r="C264" s="31" t="n">
        <v>1078.37533410469</v>
      </c>
      <c r="D264" s="31" t="n">
        <v>1293.79395019219</v>
      </c>
      <c r="E264" s="31" t="n">
        <v>2763.49410717188</v>
      </c>
      <c r="F264" s="31" t="n">
        <v>298.765104454688</v>
      </c>
    </row>
    <row r="265" customFormat="false" ht="12.65" hidden="false" customHeight="false" outlineLevel="1" collapsed="false">
      <c r="B265" s="49" t="s">
        <v>93</v>
      </c>
      <c r="C265" s="31" t="n">
        <v>1065.55279743281</v>
      </c>
      <c r="D265" s="31" t="n">
        <v>1171.97985180938</v>
      </c>
      <c r="E265" s="31" t="n">
        <v>2613.85035512344</v>
      </c>
      <c r="F265" s="31" t="n">
        <v>298.765104454688</v>
      </c>
    </row>
    <row r="266" customFormat="false" ht="12.65" hidden="false" customHeight="false" outlineLevel="1" collapsed="false">
      <c r="B266" s="49" t="s">
        <v>94</v>
      </c>
      <c r="C266" s="31" t="n">
        <v>1023.23842641563</v>
      </c>
      <c r="D266" s="31" t="n">
        <v>1225.83450583125</v>
      </c>
      <c r="E266" s="31" t="n">
        <v>2622.58867641094</v>
      </c>
      <c r="F266" s="31" t="n">
        <v>298.765104454688</v>
      </c>
    </row>
    <row r="267" customFormat="false" ht="12.65" hidden="false" customHeight="false" outlineLevel="1" collapsed="false">
      <c r="B267" s="49" t="s">
        <v>95</v>
      </c>
      <c r="C267" s="31" t="n">
        <v>1273.27789151719</v>
      </c>
      <c r="D267" s="31" t="n">
        <v>1360.47114088594</v>
      </c>
      <c r="E267" s="31" t="n">
        <v>3079.16596368281</v>
      </c>
      <c r="F267" s="31" t="n">
        <v>298.765104454688</v>
      </c>
    </row>
    <row r="268" customFormat="false" ht="12.65" hidden="false" customHeight="false" outlineLevel="1" collapsed="false">
      <c r="B268" s="49" t="s">
        <v>96</v>
      </c>
      <c r="C268" s="31" t="n">
        <v>1418.17255590938</v>
      </c>
      <c r="D268" s="31" t="n">
        <v>1455.35791225781</v>
      </c>
      <c r="E268" s="31" t="n">
        <v>3363.16140552656</v>
      </c>
      <c r="F268" s="31" t="n">
        <v>298.765104454688</v>
      </c>
    </row>
    <row r="269" customFormat="false" ht="12.65" hidden="false" customHeight="false" outlineLevel="1" collapsed="false">
      <c r="B269" s="49" t="s">
        <v>97</v>
      </c>
      <c r="C269" s="31" t="n">
        <v>1279.68915985313</v>
      </c>
      <c r="D269" s="31" t="n">
        <v>1293.79395019219</v>
      </c>
      <c r="E269" s="31" t="n">
        <v>3012.53626386563</v>
      </c>
      <c r="F269" s="31" t="n">
        <v>298.765104454688</v>
      </c>
    </row>
    <row r="270" customFormat="false" ht="12.65" hidden="false" customHeight="false" outlineLevel="1" collapsed="false">
      <c r="B270" s="49" t="s">
        <v>98</v>
      </c>
      <c r="C270" s="31" t="n">
        <v>1501.51904427656</v>
      </c>
      <c r="D270" s="31" t="n">
        <v>1495.10777594063</v>
      </c>
      <c r="E270" s="31" t="n">
        <v>3511.71286741406</v>
      </c>
      <c r="F270" s="31" t="n">
        <v>298.765104454688</v>
      </c>
    </row>
    <row r="271" customFormat="false" ht="12.65" hidden="false" customHeight="false" outlineLevel="1" collapsed="false">
      <c r="B271" s="49" t="s">
        <v>99</v>
      </c>
      <c r="C271" s="31" t="n">
        <v>1419.45480957656</v>
      </c>
      <c r="D271" s="31" t="n">
        <v>1563.06722030156</v>
      </c>
      <c r="E271" s="31" t="n">
        <v>3484.40561339063</v>
      </c>
      <c r="F271" s="31" t="n">
        <v>298.765104454688</v>
      </c>
    </row>
    <row r="272" customFormat="false" ht="12.65" hidden="false" customHeight="false" outlineLevel="1" collapsed="false">
      <c r="B272" s="49" t="s">
        <v>100</v>
      </c>
      <c r="C272" s="31" t="n">
        <v>1236.09253516875</v>
      </c>
      <c r="D272" s="31" t="n">
        <v>1455.35791225781</v>
      </c>
      <c r="E272" s="31" t="n">
        <v>3138.14963237344</v>
      </c>
      <c r="F272" s="31" t="n">
        <v>298.765104454688</v>
      </c>
    </row>
    <row r="273" customFormat="false" ht="12.65" hidden="false" customHeight="false" outlineLevel="1" collapsed="false">
      <c r="B273" s="49" t="s">
        <v>101</v>
      </c>
      <c r="C273" s="31" t="n">
        <v>1401.50325823594</v>
      </c>
      <c r="D273" s="31" t="n">
        <v>1683.59906501719</v>
      </c>
      <c r="E273" s="31" t="n">
        <v>3594.72691964531</v>
      </c>
      <c r="F273" s="31" t="n">
        <v>298.765104454688</v>
      </c>
    </row>
    <row r="274" customFormat="false" ht="12.65" hidden="false" customHeight="false" outlineLevel="1" collapsed="false">
      <c r="B274" s="49" t="s">
        <v>102</v>
      </c>
      <c r="C274" s="31" t="n">
        <v>1605.38159131875</v>
      </c>
      <c r="D274" s="31" t="n">
        <v>1751.55850937813</v>
      </c>
      <c r="E274" s="31" t="n">
        <v>3923.5062580875</v>
      </c>
      <c r="F274" s="31" t="n">
        <v>298.765104454688</v>
      </c>
    </row>
    <row r="275" customFormat="false" ht="12.65" hidden="false" customHeight="false" outlineLevel="1" collapsed="false">
      <c r="B275" s="49" t="s">
        <v>103</v>
      </c>
      <c r="C275" s="31" t="n">
        <v>1655.38948433906</v>
      </c>
      <c r="D275" s="31" t="n">
        <v>1940.04979845469</v>
      </c>
      <c r="E275" s="31" t="n">
        <v>4145.24116075781</v>
      </c>
      <c r="F275" s="31" t="n">
        <v>298.765104454688</v>
      </c>
    </row>
    <row r="276" customFormat="false" ht="12.65" hidden="false" customHeight="false" outlineLevel="1" collapsed="false">
      <c r="B276" s="49" t="s">
        <v>104</v>
      </c>
      <c r="C276" s="31" t="n">
        <v>1638.72018666563</v>
      </c>
      <c r="D276" s="31" t="n">
        <v>1818.23570007188</v>
      </c>
      <c r="E276" s="31" t="n">
        <v>4037.104434825</v>
      </c>
      <c r="F276" s="31" t="n">
        <v>298.765104454688</v>
      </c>
    </row>
    <row r="277" customFormat="false" ht="12.65" hidden="false" customHeight="false" outlineLevel="1" collapsed="false">
      <c r="B277" s="49" t="s">
        <v>105</v>
      </c>
      <c r="C277" s="31" t="n">
        <v>1548.9624299625</v>
      </c>
      <c r="D277" s="31" t="n">
        <v>1845.16302708281</v>
      </c>
      <c r="E277" s="31" t="n">
        <v>3957.36725307656</v>
      </c>
      <c r="F277" s="31" t="n">
        <v>298.765104454688</v>
      </c>
    </row>
    <row r="278" customFormat="false" ht="12.65" hidden="false" customHeight="false" outlineLevel="1" collapsed="false">
      <c r="B278" s="49" t="s">
        <v>106</v>
      </c>
      <c r="C278" s="31" t="n">
        <v>1724.63118236719</v>
      </c>
      <c r="D278" s="31" t="n">
        <v>2074.68643350938</v>
      </c>
      <c r="E278" s="31" t="n">
        <v>4427.05202227969</v>
      </c>
      <c r="F278" s="31" t="n">
        <v>298.765104454688</v>
      </c>
    </row>
    <row r="279" customFormat="false" ht="12.65" hidden="false" customHeight="false" outlineLevel="1" collapsed="false">
      <c r="B279" s="49" t="s">
        <v>107</v>
      </c>
      <c r="C279" s="31" t="n">
        <v>1791.30837306094</v>
      </c>
      <c r="D279" s="31" t="n">
        <v>2074.68643350938</v>
      </c>
      <c r="E279" s="31" t="n">
        <v>4510.06607451094</v>
      </c>
      <c r="F279" s="31" t="n">
        <v>298.765104454688</v>
      </c>
    </row>
    <row r="280" customFormat="false" ht="12.65" hidden="false" customHeight="false" outlineLevel="1" collapsed="false">
      <c r="B280" s="49" t="s">
        <v>108</v>
      </c>
      <c r="C280" s="31" t="n">
        <v>1940.04979845469</v>
      </c>
      <c r="D280" s="31" t="n">
        <v>1951.59008145938</v>
      </c>
      <c r="E280" s="31" t="n">
        <v>4558.12684159219</v>
      </c>
      <c r="F280" s="31" t="n">
        <v>298.765104454688</v>
      </c>
    </row>
    <row r="281" customFormat="false" ht="12.65" hidden="false" customHeight="false" outlineLevel="1" collapsed="false">
      <c r="B281" s="49" t="s">
        <v>109</v>
      </c>
      <c r="C281" s="31" t="n">
        <v>2196.50053189219</v>
      </c>
      <c r="D281" s="31" t="n">
        <v>2141.36362420313</v>
      </c>
      <c r="E281" s="31" t="n">
        <v>5084.61069916406</v>
      </c>
      <c r="F281" s="31" t="n">
        <v>298.765104454688</v>
      </c>
    </row>
    <row r="282" customFormat="false" ht="12.65" hidden="false" customHeight="false" outlineLevel="1" collapsed="false">
      <c r="B282" s="49" t="s">
        <v>110</v>
      </c>
      <c r="C282" s="31" t="n">
        <v>2046.47685283125</v>
      </c>
      <c r="D282" s="31" t="n">
        <v>2082.3799555125</v>
      </c>
      <c r="E282" s="31" t="n">
        <v>4834.47625230938</v>
      </c>
      <c r="F282" s="31" t="n">
        <v>298.765104454688</v>
      </c>
    </row>
    <row r="283" customFormat="false" ht="12.65" hidden="false" customHeight="false" outlineLevel="1" collapsed="false">
      <c r="B283" s="49" t="s">
        <v>111</v>
      </c>
      <c r="C283" s="31" t="n">
        <v>2241.37941024375</v>
      </c>
      <c r="D283" s="31" t="n">
        <v>2309.33885460469</v>
      </c>
      <c r="E283" s="31" t="n">
        <v>5326.00682473125</v>
      </c>
      <c r="F283" s="31" t="n">
        <v>298.765104454688</v>
      </c>
    </row>
    <row r="284" customFormat="false" ht="12.65" hidden="false" customHeight="false" outlineLevel="0" collapsed="false"/>
    <row r="285" customFormat="false" ht="12.65" hidden="false" customHeight="false" outlineLevel="0" collapsed="false"/>
    <row r="286" customFormat="false" ht="14.25" hidden="false" customHeight="true" outlineLevel="0" collapsed="false">
      <c r="A286" s="50" t="s">
        <v>112</v>
      </c>
      <c r="B286" s="50"/>
      <c r="C286" s="50"/>
      <c r="D286" s="50"/>
      <c r="E286" s="50"/>
      <c r="F286" s="9"/>
    </row>
    <row r="287" customFormat="false" ht="13.5" hidden="false" customHeight="true" outlineLevel="1" collapsed="false">
      <c r="B287" s="47" t="s">
        <v>79</v>
      </c>
      <c r="C287" s="26" t="s">
        <v>80</v>
      </c>
      <c r="D287" s="28"/>
      <c r="E287" s="47" t="s">
        <v>81</v>
      </c>
      <c r="F287" s="47" t="s">
        <v>82</v>
      </c>
    </row>
    <row r="288" customFormat="false" ht="12.65" hidden="false" customHeight="false" outlineLevel="1" collapsed="false">
      <c r="B288" s="29"/>
      <c r="C288" s="48" t="s">
        <v>83</v>
      </c>
      <c r="D288" s="48" t="s">
        <v>84</v>
      </c>
      <c r="E288" s="29"/>
      <c r="F288" s="29"/>
    </row>
    <row r="289" customFormat="false" ht="12.65" hidden="false" customHeight="false" outlineLevel="1" collapsed="false">
      <c r="B289" s="49" t="s">
        <v>113</v>
      </c>
      <c r="C289" s="31" t="n">
        <v>2243.94391757813</v>
      </c>
      <c r="D289" s="31" t="n">
        <v>2774.79693579375</v>
      </c>
      <c r="E289" s="31" t="n">
        <v>5845.9369413375</v>
      </c>
      <c r="F289" s="31" t="n">
        <v>298.765104454688</v>
      </c>
    </row>
    <row r="290" customFormat="false" ht="12.65" hidden="false" customHeight="false" outlineLevel="1" collapsed="false">
      <c r="B290" s="49" t="s">
        <v>114</v>
      </c>
      <c r="C290" s="31" t="n">
        <v>2474.74957767188</v>
      </c>
      <c r="D290" s="31" t="n">
        <v>2343.95970361875</v>
      </c>
      <c r="E290" s="31" t="n">
        <v>5652.60158285156</v>
      </c>
      <c r="F290" s="31" t="n">
        <v>298.765104454688</v>
      </c>
    </row>
    <row r="291" customFormat="false" ht="12.65" hidden="false" customHeight="false" outlineLevel="1" collapsed="false">
      <c r="B291" s="49" t="s">
        <v>115</v>
      </c>
      <c r="C291" s="31" t="n">
        <v>2384.99182096875</v>
      </c>
      <c r="D291" s="31" t="n">
        <v>2977.39301520938</v>
      </c>
      <c r="E291" s="31" t="n">
        <v>6241.34597959688</v>
      </c>
      <c r="F291" s="31" t="n">
        <v>298.765104454688</v>
      </c>
    </row>
    <row r="292" customFormat="false" ht="12.65" hidden="false" customHeight="false" outlineLevel="1" collapsed="false">
      <c r="B292" s="49" t="s">
        <v>116</v>
      </c>
      <c r="C292" s="31" t="n">
        <v>2223.42785890313</v>
      </c>
      <c r="D292" s="31" t="n">
        <v>2492.7011290125</v>
      </c>
      <c r="E292" s="31" t="n">
        <v>5506.23470128594</v>
      </c>
      <c r="F292" s="31" t="n">
        <v>298.765104454688</v>
      </c>
    </row>
    <row r="293" customFormat="false" ht="12.65" hidden="false" customHeight="false" outlineLevel="1" collapsed="false">
      <c r="B293" s="49" t="s">
        <v>117</v>
      </c>
      <c r="C293" s="31" t="n">
        <v>2576.04761737969</v>
      </c>
      <c r="D293" s="31" t="n">
        <v>2667.08762775</v>
      </c>
      <c r="E293" s="31" t="n">
        <v>6135.39383398594</v>
      </c>
      <c r="F293" s="31" t="n">
        <v>298.765104454688</v>
      </c>
    </row>
    <row r="294" customFormat="false" ht="12.65" hidden="false" customHeight="false" outlineLevel="1" collapsed="false">
      <c r="B294" s="49" t="s">
        <v>118</v>
      </c>
      <c r="C294" s="31" t="n">
        <v>2815.82905314375</v>
      </c>
      <c r="D294" s="31" t="n">
        <v>3083.82006958594</v>
      </c>
      <c r="E294" s="31" t="n">
        <v>6892.35091551563</v>
      </c>
      <c r="F294" s="31" t="n">
        <v>298.765104454688</v>
      </c>
    </row>
    <row r="295" customFormat="false" ht="12.65" hidden="false" customHeight="false" outlineLevel="1" collapsed="false">
      <c r="B295" s="49" t="s">
        <v>119</v>
      </c>
      <c r="C295" s="31" t="n">
        <v>2786.33721879844</v>
      </c>
      <c r="D295" s="31" t="n">
        <v>3381.30292037344</v>
      </c>
      <c r="E295" s="31" t="n">
        <v>7185.08467864688</v>
      </c>
      <c r="F295" s="31" t="n">
        <v>298.765104454688</v>
      </c>
    </row>
    <row r="296" customFormat="false" ht="12.65" hidden="false" customHeight="false" outlineLevel="1" collapsed="false">
      <c r="B296" s="49" t="s">
        <v>120</v>
      </c>
      <c r="C296" s="31" t="n">
        <v>3453.10912573594</v>
      </c>
      <c r="D296" s="31" t="n">
        <v>3004.32034222031</v>
      </c>
      <c r="E296" s="31" t="n">
        <v>7591.41661851563</v>
      </c>
      <c r="F296" s="31" t="n">
        <v>298.765104454688</v>
      </c>
    </row>
    <row r="297" customFormat="false" ht="12.65" hidden="false" customHeight="false" outlineLevel="1" collapsed="false">
      <c r="B297" s="49" t="s">
        <v>121</v>
      </c>
      <c r="C297" s="31" t="n">
        <v>3158.19078228281</v>
      </c>
      <c r="D297" s="31" t="n">
        <v>3515.93955542813</v>
      </c>
      <c r="E297" s="31" t="n">
        <v>7794.58258845</v>
      </c>
      <c r="F297" s="31" t="n">
        <v>298.765104454688</v>
      </c>
    </row>
    <row r="298" customFormat="false" ht="12.65" hidden="false" customHeight="false" outlineLevel="1" collapsed="false">
      <c r="B298" s="49" t="s">
        <v>122</v>
      </c>
      <c r="C298" s="31" t="n">
        <v>3256.92431465625</v>
      </c>
      <c r="D298" s="31" t="n">
        <v>3449.26236473438</v>
      </c>
      <c r="E298" s="31" t="n">
        <v>7842.64335553125</v>
      </c>
      <c r="F298" s="31" t="n">
        <v>298.765104454688</v>
      </c>
    </row>
    <row r="299" customFormat="false" ht="12.65" hidden="false" customHeight="false" outlineLevel="1" collapsed="false">
      <c r="B299" s="49" t="s">
        <v>123</v>
      </c>
      <c r="C299" s="31" t="n">
        <v>3844.19649422813</v>
      </c>
      <c r="D299" s="31" t="n">
        <v>3848.04325522969</v>
      </c>
      <c r="E299" s="31" t="n">
        <v>9010.30153757344</v>
      </c>
      <c r="F299" s="31" t="n">
        <v>298.765104454688</v>
      </c>
    </row>
    <row r="300" customFormat="false" ht="12.65" hidden="false" customHeight="false" outlineLevel="1" collapsed="false">
      <c r="B300" s="49" t="s">
        <v>124</v>
      </c>
      <c r="C300" s="31" t="n">
        <v>4189.12273070156</v>
      </c>
      <c r="D300" s="31" t="n">
        <v>4486.60558148906</v>
      </c>
      <c r="E300" s="31" t="n">
        <v>10143.0064344656</v>
      </c>
      <c r="F300" s="31" t="n">
        <v>298.765104454688</v>
      </c>
    </row>
    <row r="301" customFormat="false" ht="12.65" hidden="false" customHeight="false" outlineLevel="1" collapsed="false">
      <c r="B301" s="49" t="s">
        <v>125</v>
      </c>
      <c r="C301" s="31" t="n">
        <v>4934.1121113375</v>
      </c>
      <c r="D301" s="31" t="n">
        <v>5482.91668089375</v>
      </c>
      <c r="E301" s="31" t="n">
        <v>12167.0201026828</v>
      </c>
      <c r="F301" s="31" t="n">
        <v>298.765104454688</v>
      </c>
    </row>
    <row r="302" customFormat="false" ht="12.65" hidden="false" customHeight="false" outlineLevel="1" collapsed="false">
      <c r="B302" s="49" t="s">
        <v>126</v>
      </c>
      <c r="C302" s="31" t="n">
        <v>4468.65403014844</v>
      </c>
      <c r="D302" s="31" t="n">
        <v>6534.3646879875</v>
      </c>
      <c r="E302" s="31" t="n">
        <v>12754.6722092672</v>
      </c>
      <c r="F302" s="31" t="n">
        <v>298.765104454688</v>
      </c>
    </row>
    <row r="303" customFormat="false" ht="12.65" hidden="false" customHeight="false" outlineLevel="1" collapsed="false">
      <c r="B303" s="49" t="s">
        <v>127</v>
      </c>
      <c r="C303" s="31" t="n">
        <v>5118.7566394125</v>
      </c>
      <c r="D303" s="31" t="n">
        <v>5859.89925904688</v>
      </c>
      <c r="E303" s="31" t="n">
        <v>12812.5635877969</v>
      </c>
      <c r="F303" s="31" t="n">
        <v>298.765104454688</v>
      </c>
    </row>
    <row r="304" customFormat="false" ht="12.65" hidden="false" customHeight="false" outlineLevel="1" collapsed="false">
      <c r="B304" s="49" t="s">
        <v>128</v>
      </c>
      <c r="C304" s="31" t="n">
        <v>5440.60230987656</v>
      </c>
      <c r="D304" s="31" t="n">
        <v>6143.27731949531</v>
      </c>
      <c r="E304" s="31" t="n">
        <v>13523.6444825672</v>
      </c>
      <c r="F304" s="31" t="n">
        <v>298.765104454688</v>
      </c>
    </row>
    <row r="305" customFormat="false" ht="12.65" hidden="false" customHeight="false" outlineLevel="0" collapsed="false"/>
    <row r="306" customFormat="false" ht="12.65" hidden="false" customHeight="false" outlineLevel="0" collapsed="false"/>
    <row r="307" customFormat="false" ht="15" hidden="false" customHeight="true" outlineLevel="0" collapsed="false">
      <c r="A307" s="33" t="s">
        <v>129</v>
      </c>
      <c r="B307" s="33"/>
      <c r="C307" s="33"/>
      <c r="D307" s="33"/>
      <c r="E307" s="33"/>
      <c r="F307" s="33"/>
    </row>
    <row r="308" customFormat="false" ht="32" hidden="false" customHeight="false" outlineLevel="1" collapsed="false">
      <c r="B308" s="39" t="s">
        <v>130</v>
      </c>
      <c r="C308" s="28" t="s">
        <v>131</v>
      </c>
      <c r="D308" s="28" t="s">
        <v>132</v>
      </c>
      <c r="E308" s="28" t="s">
        <v>80</v>
      </c>
      <c r="F308" s="28" t="s">
        <v>81</v>
      </c>
      <c r="G308" s="28" t="s">
        <v>82</v>
      </c>
    </row>
    <row r="309" customFormat="false" ht="12.75" hidden="false" customHeight="false" outlineLevel="1" collapsed="false">
      <c r="B309" s="51" t="s">
        <v>133</v>
      </c>
      <c r="C309" s="52" t="s">
        <v>108</v>
      </c>
      <c r="D309" s="30" t="n">
        <v>1468</v>
      </c>
      <c r="E309" s="31" t="n">
        <v>4103.99985188813</v>
      </c>
      <c r="F309" s="31" t="n">
        <v>4351.59874926</v>
      </c>
      <c r="G309" s="31" t="n">
        <v>298.765104454688</v>
      </c>
    </row>
    <row r="310" customFormat="false" ht="12.75" hidden="false" customHeight="false" outlineLevel="1" collapsed="false">
      <c r="B310" s="51" t="s">
        <v>134</v>
      </c>
      <c r="C310" s="51"/>
      <c r="D310" s="30" t="n">
        <v>1708</v>
      </c>
      <c r="E310" s="31" t="n">
        <v>5497.202863215</v>
      </c>
      <c r="F310" s="31" t="n">
        <v>4351.59874926</v>
      </c>
      <c r="G310" s="31" t="n">
        <v>298.765104454688</v>
      </c>
    </row>
    <row r="311" customFormat="false" ht="13.5" hidden="false" customHeight="true" outlineLevel="1" collapsed="false">
      <c r="B311" s="51" t="s">
        <v>135</v>
      </c>
      <c r="C311" s="52" t="s">
        <v>111</v>
      </c>
      <c r="D311" s="30" t="n">
        <v>1681</v>
      </c>
      <c r="E311" s="31" t="n">
        <v>5054.39376021563</v>
      </c>
      <c r="F311" s="31" t="n">
        <v>5602.7984797575</v>
      </c>
      <c r="G311" s="31" t="n">
        <v>298.765104454688</v>
      </c>
    </row>
    <row r="312" customFormat="false" ht="12.75" hidden="false" customHeight="false" outlineLevel="1" collapsed="false">
      <c r="B312" s="51" t="s">
        <v>136</v>
      </c>
      <c r="C312" s="51"/>
      <c r="D312" s="30" t="n">
        <v>1902</v>
      </c>
      <c r="E312" s="31" t="n">
        <v>5605.19989647188</v>
      </c>
      <c r="F312" s="31" t="n">
        <v>5602.7984797575</v>
      </c>
      <c r="G312" s="31" t="n">
        <v>298.765104454688</v>
      </c>
    </row>
    <row r="313" customFormat="false" ht="13.5" hidden="false" customHeight="true" outlineLevel="1" collapsed="false">
      <c r="B313" s="51" t="s">
        <v>137</v>
      </c>
      <c r="C313" s="52" t="s">
        <v>117</v>
      </c>
      <c r="D313" s="30" t="n">
        <v>1975</v>
      </c>
      <c r="E313" s="31" t="n">
        <v>5432.4021413025</v>
      </c>
      <c r="F313" s="31" t="n">
        <v>5786.79342530625</v>
      </c>
      <c r="G313" s="31" t="n">
        <v>298.765104454688</v>
      </c>
    </row>
    <row r="314" customFormat="false" ht="12.75" hidden="false" customHeight="false" outlineLevel="1" collapsed="false">
      <c r="B314" s="51" t="s">
        <v>138</v>
      </c>
      <c r="C314" s="51"/>
      <c r="D314" s="30" t="n">
        <v>2228</v>
      </c>
      <c r="E314" s="31" t="n">
        <v>6685.19524862438</v>
      </c>
      <c r="F314" s="31" t="n">
        <v>5786.79342530625</v>
      </c>
      <c r="G314" s="31" t="n">
        <v>298.765104454688</v>
      </c>
    </row>
    <row r="315" customFormat="false" ht="13.5" hidden="false" customHeight="true" outlineLevel="1" collapsed="false">
      <c r="B315" s="51" t="s">
        <v>139</v>
      </c>
      <c r="C315" s="52" t="s">
        <v>125</v>
      </c>
      <c r="D315" s="30" t="n">
        <v>2785</v>
      </c>
      <c r="E315" s="31" t="n">
        <v>9077.405219505</v>
      </c>
      <c r="F315" s="31" t="n">
        <v>13275.59870763</v>
      </c>
      <c r="G315" s="31" t="n">
        <v>298.765104454688</v>
      </c>
    </row>
    <row r="316" customFormat="false" ht="12.65" hidden="false" customHeight="false" outlineLevel="1" collapsed="false">
      <c r="B316" s="51" t="s">
        <v>140</v>
      </c>
      <c r="C316" s="51"/>
      <c r="D316" s="30" t="n">
        <v>3130</v>
      </c>
      <c r="E316" s="31" t="n">
        <v>10670.4021168675</v>
      </c>
      <c r="F316" s="31" t="n">
        <v>13275.59870763</v>
      </c>
      <c r="G316" s="31" t="n">
        <v>298.765104454688</v>
      </c>
    </row>
    <row r="317" customFormat="false" ht="12.65" hidden="false" customHeight="false" outlineLevel="0" collapsed="false"/>
    <row r="318" customFormat="false" ht="15" hidden="false" customHeight="false" outlineLevel="0" collapsed="false">
      <c r="A318" s="33" t="s">
        <v>141</v>
      </c>
      <c r="B318" s="33"/>
      <c r="C318" s="33"/>
    </row>
    <row r="319" customFormat="false" ht="12.65" hidden="false" customHeight="false" outlineLevel="1" collapsed="false">
      <c r="B319" s="39" t="s">
        <v>142</v>
      </c>
      <c r="C319" s="28" t="s">
        <v>80</v>
      </c>
      <c r="D319" s="28" t="s">
        <v>81</v>
      </c>
    </row>
    <row r="320" customFormat="false" ht="12.65" hidden="false" customHeight="false" outlineLevel="1" collapsed="false">
      <c r="B320" s="49" t="s">
        <v>143</v>
      </c>
      <c r="C320" s="31" t="n">
        <v>673.026802875</v>
      </c>
      <c r="D320" s="31" t="n">
        <v>1722.088683</v>
      </c>
    </row>
    <row r="321" customFormat="false" ht="12.65" hidden="false" customHeight="false" outlineLevel="1" collapsed="false">
      <c r="B321" s="49" t="s">
        <v>144</v>
      </c>
      <c r="C321" s="31" t="n">
        <v>3044.883342375</v>
      </c>
      <c r="D321" s="31" t="n">
        <v>7781.368541625</v>
      </c>
    </row>
    <row r="322" customFormat="false" ht="12.65" hidden="false" customHeight="false" outlineLevel="0" collapsed="false"/>
    <row r="323" customFormat="false" ht="15" hidden="false" customHeight="true" outlineLevel="0" collapsed="false">
      <c r="A323" s="33" t="s">
        <v>145</v>
      </c>
      <c r="C323" s="33"/>
    </row>
    <row r="324" customFormat="false" ht="12.75" hidden="false" customHeight="false" outlineLevel="1" collapsed="false">
      <c r="B324" s="39" t="s">
        <v>36</v>
      </c>
      <c r="C324" s="53" t="s">
        <v>69</v>
      </c>
    </row>
    <row r="325" customFormat="false" ht="22" hidden="false" customHeight="false" outlineLevel="1" collapsed="false">
      <c r="B325" s="39" t="s">
        <v>146</v>
      </c>
      <c r="C325" s="54" t="n">
        <v>419680.814450625</v>
      </c>
    </row>
    <row r="326" customFormat="false" ht="12.75" hidden="false" customHeight="false" outlineLevel="1" collapsed="false">
      <c r="B326" s="29" t="s">
        <v>147</v>
      </c>
      <c r="C326" s="31" t="n">
        <v>5485.8217325625</v>
      </c>
    </row>
    <row r="327" customFormat="false" ht="22" hidden="false" customHeight="false" outlineLevel="1" collapsed="false">
      <c r="B327" s="39" t="s">
        <v>71</v>
      </c>
      <c r="C327" s="54" t="n">
        <v>64027.0434091641</v>
      </c>
    </row>
    <row r="328" customFormat="false" ht="12.65" hidden="false" customHeight="false" outlineLevel="1" collapsed="false">
      <c r="B328" s="29" t="s">
        <v>72</v>
      </c>
      <c r="C328" s="54" t="n">
        <v>51360.6880139063</v>
      </c>
    </row>
    <row r="329" customFormat="false" ht="12.65" hidden="false" customHeight="false" outlineLevel="0" collapsed="false"/>
    <row r="330" customFormat="false" ht="15" hidden="false" customHeight="false" outlineLevel="0" collapsed="false">
      <c r="A330" s="33" t="s">
        <v>148</v>
      </c>
      <c r="C330" s="55"/>
      <c r="D330" s="55"/>
      <c r="E330" s="55"/>
      <c r="F330" s="55"/>
      <c r="G330" s="55"/>
      <c r="H330" s="55"/>
      <c r="I330" s="55"/>
      <c r="J330" s="55"/>
    </row>
    <row r="331" customFormat="false" ht="12.75" hidden="false" customHeight="false" outlineLevel="1" collapsed="false">
      <c r="B331" s="24" t="s">
        <v>36</v>
      </c>
      <c r="C331" s="41" t="s">
        <v>37</v>
      </c>
      <c r="D331" s="41" t="s">
        <v>38</v>
      </c>
      <c r="E331" s="41" t="s">
        <v>39</v>
      </c>
      <c r="F331" s="41" t="s">
        <v>40</v>
      </c>
      <c r="G331" s="41" t="s">
        <v>41</v>
      </c>
      <c r="H331" s="41" t="s">
        <v>42</v>
      </c>
      <c r="I331" s="41" t="s">
        <v>43</v>
      </c>
      <c r="J331" s="41" t="s">
        <v>44</v>
      </c>
    </row>
    <row r="332" customFormat="false" ht="12.75" hidden="false" customHeight="false" outlineLevel="1" collapsed="false">
      <c r="B332" s="29" t="s">
        <v>47</v>
      </c>
      <c r="C332" s="44" t="n">
        <v>3.6</v>
      </c>
      <c r="D332" s="44" t="n">
        <v>4.5</v>
      </c>
      <c r="E332" s="44" t="n">
        <v>5.3</v>
      </c>
      <c r="F332" s="44" t="n">
        <v>6.7</v>
      </c>
      <c r="G332" s="44" t="n">
        <v>8</v>
      </c>
      <c r="H332" s="44" t="n">
        <v>8.8</v>
      </c>
      <c r="I332" s="44" t="n">
        <v>19.8</v>
      </c>
      <c r="J332" s="44" t="n">
        <v>39.6</v>
      </c>
    </row>
    <row r="333" customFormat="false" ht="12.75" hidden="false" customHeight="false" outlineLevel="1" collapsed="false">
      <c r="B333" s="29" t="s">
        <v>80</v>
      </c>
      <c r="C333" s="54" t="n">
        <v>51290.1466875</v>
      </c>
      <c r="D333" s="54" t="n">
        <v>64112.683359375</v>
      </c>
      <c r="E333" s="54" t="n">
        <v>67318.9430169375</v>
      </c>
      <c r="F333" s="54" t="n">
        <v>70523.9516953125</v>
      </c>
      <c r="G333" s="54" t="n">
        <v>121814.098382813</v>
      </c>
      <c r="H333" s="54" t="n">
        <v>403269.403820063</v>
      </c>
      <c r="I333" s="54" t="n">
        <v>530853.018215625</v>
      </c>
      <c r="J333" s="54" t="n">
        <v>1547910.35646581</v>
      </c>
    </row>
    <row r="334" customFormat="false" ht="12.75" hidden="false" customHeight="false" outlineLevel="1" collapsed="false">
      <c r="B334" s="29" t="s">
        <v>81</v>
      </c>
      <c r="C334" s="54" t="n">
        <v>9261.323253</v>
      </c>
      <c r="D334" s="54" t="n">
        <v>9878.102325</v>
      </c>
      <c r="E334" s="54" t="n">
        <v>10496.086043625</v>
      </c>
      <c r="F334" s="54" t="n">
        <v>11112.865115625</v>
      </c>
      <c r="G334" s="54" t="n">
        <v>12347.62790625</v>
      </c>
      <c r="H334" s="54" t="n">
        <v>18521.441859375</v>
      </c>
      <c r="I334" s="54" t="n">
        <v>24695.2558125</v>
      </c>
      <c r="J334" s="54" t="n">
        <v>74529.0773955</v>
      </c>
    </row>
    <row r="335" customFormat="false" ht="22" hidden="false" customHeight="false" outlineLevel="1" collapsed="false">
      <c r="B335" s="29" t="s">
        <v>149</v>
      </c>
      <c r="C335" s="54" t="n">
        <v>9878.102325</v>
      </c>
      <c r="D335" s="54" t="n">
        <v>11112.865115625</v>
      </c>
      <c r="E335" s="54" t="n">
        <v>12347.62790625</v>
      </c>
      <c r="F335" s="54" t="n">
        <v>14817.1534875</v>
      </c>
      <c r="G335" s="54" t="n">
        <v>18521.441859375</v>
      </c>
      <c r="H335" s="54" t="n">
        <v>24695.2558125</v>
      </c>
      <c r="I335" s="54" t="n">
        <v>30869.069765625</v>
      </c>
      <c r="J335" s="54" t="n">
        <v>89435.37473325</v>
      </c>
    </row>
    <row r="336" customFormat="false" ht="12.65" hidden="false" customHeight="false" outlineLevel="1" collapsed="false">
      <c r="B336" s="29" t="s">
        <v>150</v>
      </c>
      <c r="C336" s="54" t="n">
        <v>5824.466431875</v>
      </c>
      <c r="D336" s="54" t="n">
        <v>7280.8842015</v>
      </c>
      <c r="E336" s="54" t="n">
        <v>8574.67467675</v>
      </c>
      <c r="F336" s="54" t="n">
        <v>10839.41033175</v>
      </c>
      <c r="G336" s="54" t="n">
        <v>12942.723339</v>
      </c>
      <c r="H336" s="54" t="n">
        <v>14236.51381425</v>
      </c>
      <c r="I336" s="54" t="n">
        <v>32032.758405375</v>
      </c>
      <c r="J336" s="54" t="n">
        <v>64065.51681075</v>
      </c>
    </row>
    <row r="337" customFormat="false" ht="12.65" hidden="false" customHeight="false" outlineLevel="0" collapsed="false"/>
    <row r="338" customFormat="false" ht="15" hidden="false" customHeight="false" outlineLevel="0" collapsed="false">
      <c r="A338" s="33" t="s">
        <v>151</v>
      </c>
      <c r="B338" s="33"/>
      <c r="C338" s="33"/>
      <c r="D338" s="33"/>
      <c r="E338" s="33"/>
      <c r="F338" s="33"/>
      <c r="G338" s="33"/>
      <c r="H338" s="33"/>
      <c r="I338" s="33"/>
    </row>
    <row r="339" customFormat="false" ht="12.65" hidden="false" customHeight="false" outlineLevel="1" collapsed="false">
      <c r="B339" s="24" t="s">
        <v>36</v>
      </c>
      <c r="C339" s="56" t="s">
        <v>37</v>
      </c>
      <c r="D339" s="56" t="s">
        <v>38</v>
      </c>
      <c r="E339" s="56" t="s">
        <v>39</v>
      </c>
      <c r="F339" s="56" t="s">
        <v>40</v>
      </c>
      <c r="G339" s="56" t="s">
        <v>41</v>
      </c>
      <c r="H339" s="56" t="s">
        <v>42</v>
      </c>
      <c r="I339" s="56" t="s">
        <v>43</v>
      </c>
      <c r="J339" s="56" t="s">
        <v>44</v>
      </c>
    </row>
    <row r="340" customFormat="false" ht="12.65" hidden="false" customHeight="false" outlineLevel="1" collapsed="false">
      <c r="B340" s="29" t="s">
        <v>47</v>
      </c>
      <c r="C340" s="44" t="n">
        <v>3.4</v>
      </c>
      <c r="D340" s="44" t="n">
        <v>4.2</v>
      </c>
      <c r="E340" s="44" t="n">
        <v>5.2</v>
      </c>
      <c r="F340" s="44" t="n">
        <v>6.5</v>
      </c>
      <c r="G340" s="44" t="n">
        <v>7.8</v>
      </c>
      <c r="H340" s="44" t="n">
        <v>8</v>
      </c>
      <c r="I340" s="44" t="n">
        <v>18</v>
      </c>
      <c r="J340" s="44" t="n">
        <v>27</v>
      </c>
    </row>
    <row r="341" customFormat="false" ht="12.65" hidden="false" customHeight="false" outlineLevel="1" collapsed="false">
      <c r="B341" s="29" t="s">
        <v>152</v>
      </c>
      <c r="C341" s="44" t="n">
        <v>1500</v>
      </c>
      <c r="D341" s="44" t="n">
        <v>1750</v>
      </c>
      <c r="E341" s="44" t="n">
        <v>2000</v>
      </c>
      <c r="F341" s="44" t="n">
        <v>2500</v>
      </c>
      <c r="G341" s="44" t="n">
        <v>3500</v>
      </c>
      <c r="H341" s="44" t="n">
        <v>4000</v>
      </c>
      <c r="I341" s="44" t="n">
        <v>5000</v>
      </c>
      <c r="J341" s="44" t="n">
        <v>7500</v>
      </c>
    </row>
    <row r="342" customFormat="false" ht="12.65" hidden="false" customHeight="false" outlineLevel="1" collapsed="false">
      <c r="B342" s="29" t="s">
        <v>80</v>
      </c>
      <c r="C342" s="54" t="n">
        <v>12822.536671875</v>
      </c>
      <c r="D342" s="54" t="n">
        <v>16028.7963294375</v>
      </c>
      <c r="E342" s="54" t="n">
        <v>19233.8050078125</v>
      </c>
      <c r="F342" s="54" t="n">
        <v>22440.064665375</v>
      </c>
      <c r="G342" s="54" t="n">
        <v>25645.07334375</v>
      </c>
      <c r="H342" s="54" t="n">
        <v>44878.8783515625</v>
      </c>
      <c r="I342" s="54" t="n">
        <v>64112.683359375</v>
      </c>
      <c r="J342" s="54" t="n">
        <v>192338.050078125</v>
      </c>
    </row>
    <row r="343" customFormat="false" ht="12.65" hidden="false" customHeight="false" outlineLevel="1" collapsed="false">
      <c r="B343" s="29" t="s">
        <v>81</v>
      </c>
      <c r="C343" s="54" t="n">
        <v>7408.57674375</v>
      </c>
      <c r="D343" s="54" t="n">
        <v>8643.339534375</v>
      </c>
      <c r="E343" s="54" t="n">
        <v>9878.102325</v>
      </c>
      <c r="F343" s="54" t="n">
        <v>11112.865115625</v>
      </c>
      <c r="G343" s="54" t="n">
        <v>12347.62790625</v>
      </c>
      <c r="H343" s="54" t="n">
        <v>18521.441859375</v>
      </c>
      <c r="I343" s="54" t="n">
        <v>24695.2558125</v>
      </c>
      <c r="J343" s="54" t="n">
        <v>74529.0773955</v>
      </c>
    </row>
    <row r="344" customFormat="false" ht="12.65" hidden="false" customHeight="false" outlineLevel="1" collapsed="false">
      <c r="B344" s="29" t="s">
        <v>153</v>
      </c>
      <c r="C344" s="54" t="n">
        <v>4939.0511625</v>
      </c>
      <c r="D344" s="54" t="n">
        <v>5557.034881125</v>
      </c>
      <c r="E344" s="54" t="n">
        <v>6173.813953125</v>
      </c>
      <c r="F344" s="54" t="n">
        <v>7408.57674375</v>
      </c>
      <c r="G344" s="54" t="n">
        <v>9261.323253</v>
      </c>
      <c r="H344" s="54" t="n">
        <v>12347.62790625</v>
      </c>
      <c r="I344" s="54" t="n">
        <v>15435.137206125</v>
      </c>
      <c r="J344" s="54" t="n">
        <v>44717.687366625</v>
      </c>
    </row>
    <row r="345" customFormat="false" ht="12.65" hidden="false" customHeight="false" outlineLevel="1" collapsed="false">
      <c r="B345" s="57" t="s">
        <v>154</v>
      </c>
      <c r="C345" s="58" t="n">
        <v>4203.29007</v>
      </c>
      <c r="D345" s="58" t="n">
        <v>4903.838415</v>
      </c>
      <c r="E345" s="58" t="n">
        <v>5604.38676</v>
      </c>
      <c r="F345" s="58" t="n">
        <v>7005.48345</v>
      </c>
      <c r="G345" s="58" t="n">
        <v>9807.67683</v>
      </c>
      <c r="H345" s="58" t="n">
        <v>11208.77352</v>
      </c>
      <c r="I345" s="58" t="n">
        <v>14010.9669</v>
      </c>
      <c r="J345" s="58" t="n">
        <v>21016.45035</v>
      </c>
    </row>
    <row r="346" customFormat="false" ht="12.65" hidden="false" customHeight="false" outlineLevel="1" collapsed="false">
      <c r="B346" s="29" t="s">
        <v>155</v>
      </c>
      <c r="C346" s="58" t="n">
        <v>4654.754559</v>
      </c>
      <c r="D346" s="58" t="n">
        <v>5430.5469855</v>
      </c>
      <c r="E346" s="58" t="n">
        <v>6206.339412</v>
      </c>
      <c r="F346" s="58" t="n">
        <v>7757.924265</v>
      </c>
      <c r="G346" s="58" t="n">
        <v>10861.093971</v>
      </c>
      <c r="H346" s="58" t="n">
        <v>12456.0461025</v>
      </c>
      <c r="I346" s="58" t="n">
        <v>15515.84853</v>
      </c>
      <c r="J346" s="58" t="n">
        <v>23273.772795</v>
      </c>
    </row>
    <row r="347" customFormat="false" ht="12.65" hidden="false" customHeight="false" outlineLevel="1" collapsed="false">
      <c r="B347" s="29" t="s">
        <v>150</v>
      </c>
      <c r="C347" s="58" t="n">
        <v>5500.41648975</v>
      </c>
      <c r="D347" s="58" t="n">
        <v>6795.411611625</v>
      </c>
      <c r="E347" s="58" t="n">
        <v>8413.252029</v>
      </c>
      <c r="F347" s="58" t="n">
        <v>10516.56503625</v>
      </c>
      <c r="G347" s="58" t="n">
        <v>12618.673396875</v>
      </c>
      <c r="H347" s="58" t="n">
        <v>12942.723339</v>
      </c>
      <c r="I347" s="58" t="n">
        <v>29121.12751275</v>
      </c>
      <c r="J347" s="58" t="n">
        <v>43681.691269125</v>
      </c>
    </row>
    <row r="348" customFormat="false" ht="12.65" hidden="false" customHeight="false" outlineLevel="0" collapsed="false"/>
    <row r="349" customFormat="false" ht="15" hidden="false" customHeight="false" outlineLevel="0" collapsed="false">
      <c r="A349" s="33" t="s">
        <v>156</v>
      </c>
      <c r="C349" s="33"/>
      <c r="D349" s="33"/>
      <c r="E349" s="33"/>
      <c r="F349" s="33"/>
      <c r="G349" s="33"/>
      <c r="H349" s="33"/>
      <c r="I349" s="33"/>
      <c r="J349" s="33"/>
    </row>
    <row r="350" customFormat="false" ht="12.65" hidden="false" customHeight="false" outlineLevel="1" collapsed="false">
      <c r="B350" s="24" t="s">
        <v>36</v>
      </c>
      <c r="C350" s="56" t="s">
        <v>37</v>
      </c>
      <c r="D350" s="56" t="s">
        <v>38</v>
      </c>
      <c r="E350" s="56" t="s">
        <v>39</v>
      </c>
      <c r="F350" s="56" t="s">
        <v>40</v>
      </c>
      <c r="G350" s="56" t="s">
        <v>41</v>
      </c>
      <c r="H350" s="56" t="s">
        <v>42</v>
      </c>
      <c r="I350" s="56" t="s">
        <v>43</v>
      </c>
      <c r="J350" s="56" t="s">
        <v>44</v>
      </c>
    </row>
    <row r="351" customFormat="false" ht="12.65" hidden="false" customHeight="false" outlineLevel="1" collapsed="false">
      <c r="B351" s="29" t="s">
        <v>47</v>
      </c>
      <c r="C351" s="44" t="n">
        <v>3.1</v>
      </c>
      <c r="D351" s="44" t="n">
        <v>3.9</v>
      </c>
      <c r="E351" s="44" t="n">
        <v>4.8</v>
      </c>
      <c r="F351" s="44" t="n">
        <v>6</v>
      </c>
      <c r="G351" s="44" t="n">
        <v>7.2</v>
      </c>
      <c r="H351" s="44" t="n">
        <v>9.6</v>
      </c>
      <c r="I351" s="44" t="n">
        <v>14.4</v>
      </c>
      <c r="J351" s="44" t="n">
        <v>21.6</v>
      </c>
    </row>
    <row r="352" customFormat="false" ht="12.65" hidden="false" customHeight="false" outlineLevel="1" collapsed="false">
      <c r="B352" s="29" t="s">
        <v>152</v>
      </c>
      <c r="C352" s="44" t="n">
        <v>1000</v>
      </c>
      <c r="D352" s="44" t="n">
        <v>1250</v>
      </c>
      <c r="E352" s="44" t="n">
        <v>1500</v>
      </c>
      <c r="F352" s="44" t="n">
        <v>1750</v>
      </c>
      <c r="G352" s="44" t="n">
        <v>2000</v>
      </c>
      <c r="H352" s="44" t="n">
        <v>3000</v>
      </c>
      <c r="I352" s="44" t="n">
        <v>4500</v>
      </c>
      <c r="J352" s="44" t="n">
        <v>6750</v>
      </c>
    </row>
    <row r="353" customFormat="false" ht="12.65" hidden="false" customHeight="false" outlineLevel="1" collapsed="false">
      <c r="B353" s="29" t="s">
        <v>80</v>
      </c>
      <c r="C353" s="58" t="n">
        <v>7373.271331125</v>
      </c>
      <c r="D353" s="58" t="n">
        <v>9232.22640375</v>
      </c>
      <c r="E353" s="58" t="n">
        <v>10643.33092725</v>
      </c>
      <c r="F353" s="58" t="n">
        <v>11187.5068738125</v>
      </c>
      <c r="G353" s="58" t="n">
        <v>11732.9337995625</v>
      </c>
      <c r="H353" s="58" t="n">
        <v>13880.8650645</v>
      </c>
      <c r="I353" s="58" t="n">
        <v>15996.2708705625</v>
      </c>
      <c r="J353" s="58" t="n">
        <v>23995.0317954375</v>
      </c>
    </row>
    <row r="354" customFormat="false" ht="12.65" hidden="false" customHeight="false" outlineLevel="1" collapsed="false">
      <c r="B354" s="29" t="s">
        <v>81</v>
      </c>
      <c r="C354" s="58" t="n">
        <v>8520.465578625</v>
      </c>
      <c r="D354" s="58" t="n">
        <v>10668.350511</v>
      </c>
      <c r="E354" s="58" t="n">
        <v>12298.237394625</v>
      </c>
      <c r="F354" s="58" t="n">
        <v>12928.2675795</v>
      </c>
      <c r="G354" s="58" t="n">
        <v>13558.297764375</v>
      </c>
      <c r="H354" s="58" t="n">
        <v>16039.869811875</v>
      </c>
      <c r="I354" s="58" t="n">
        <v>18484.097814</v>
      </c>
      <c r="J354" s="58" t="n">
        <v>27726.146721</v>
      </c>
    </row>
    <row r="355" customFormat="false" ht="12.65" hidden="false" customHeight="false" outlineLevel="1" collapsed="false">
      <c r="B355" s="29" t="s">
        <v>154</v>
      </c>
      <c r="C355" s="58" t="n">
        <v>0</v>
      </c>
      <c r="D355" s="58" t="n">
        <v>0</v>
      </c>
      <c r="E355" s="58" t="n">
        <v>0</v>
      </c>
      <c r="F355" s="58" t="n">
        <v>0</v>
      </c>
      <c r="G355" s="58" t="n">
        <v>0</v>
      </c>
      <c r="H355" s="58" t="n">
        <v>0</v>
      </c>
      <c r="I355" s="58" t="n">
        <v>0</v>
      </c>
      <c r="J355" s="58" t="n">
        <v>0</v>
      </c>
    </row>
    <row r="356" customFormat="false" ht="12.65" hidden="false" customHeight="false" outlineLevel="1" collapsed="false">
      <c r="B356" s="29" t="s">
        <v>155</v>
      </c>
      <c r="C356" s="58" t="n">
        <v>2802.19338</v>
      </c>
      <c r="D356" s="58" t="n">
        <v>3502.741725</v>
      </c>
      <c r="E356" s="58" t="n">
        <v>4203.29007</v>
      </c>
      <c r="F356" s="58" t="n">
        <v>4903.838415</v>
      </c>
      <c r="G356" s="58" t="n">
        <v>5604.38676</v>
      </c>
      <c r="H356" s="58" t="n">
        <v>8406.58014</v>
      </c>
      <c r="I356" s="58" t="n">
        <v>12609.87021</v>
      </c>
      <c r="J356" s="58" t="n">
        <v>18914.805315</v>
      </c>
    </row>
    <row r="357" customFormat="false" ht="12.65" hidden="false" customHeight="false" outlineLevel="1" collapsed="false">
      <c r="B357" s="29" t="s">
        <v>150</v>
      </c>
      <c r="C357" s="58" t="n">
        <v>3103.169706</v>
      </c>
      <c r="D357" s="58" t="n">
        <v>3878.9621325</v>
      </c>
      <c r="E357" s="58" t="n">
        <v>4654.754559</v>
      </c>
      <c r="F357" s="58" t="n">
        <v>5430.5469855</v>
      </c>
      <c r="G357" s="58" t="n">
        <v>6206.339412</v>
      </c>
      <c r="H357" s="58" t="n">
        <v>9309.509118</v>
      </c>
      <c r="I357" s="58" t="n">
        <v>13964.263677</v>
      </c>
      <c r="J357" s="58" t="n">
        <v>20946.3955155</v>
      </c>
    </row>
    <row r="358" customFormat="false" ht="12.65" hidden="false" customHeight="false" outlineLevel="0" collapsed="false"/>
    <row r="359" customFormat="false" ht="15" hidden="false" customHeight="false" outlineLevel="0" collapsed="false">
      <c r="A359" s="33" t="s">
        <v>157</v>
      </c>
      <c r="B359" s="33"/>
      <c r="C359" s="33"/>
      <c r="D359" s="33"/>
      <c r="E359" s="33"/>
      <c r="F359" s="33"/>
      <c r="G359" s="33"/>
      <c r="H359" s="33"/>
      <c r="I359" s="33"/>
    </row>
    <row r="360" customFormat="false" ht="12.75" hidden="false" customHeight="false" outlineLevel="1" collapsed="false">
      <c r="B360" s="24" t="s">
        <v>36</v>
      </c>
      <c r="C360" s="56" t="s">
        <v>37</v>
      </c>
      <c r="D360" s="56" t="s">
        <v>38</v>
      </c>
      <c r="E360" s="56" t="s">
        <v>39</v>
      </c>
      <c r="F360" s="56" t="s">
        <v>40</v>
      </c>
      <c r="G360" s="56" t="s">
        <v>41</v>
      </c>
      <c r="H360" s="56" t="s">
        <v>42</v>
      </c>
      <c r="I360" s="56" t="s">
        <v>43</v>
      </c>
      <c r="J360" s="56" t="s">
        <v>44</v>
      </c>
    </row>
    <row r="361" customFormat="false" ht="12.75" hidden="false" customHeight="false" outlineLevel="1" collapsed="false">
      <c r="B361" s="29" t="s">
        <v>47</v>
      </c>
      <c r="C361" s="59" t="n">
        <v>1.8</v>
      </c>
      <c r="D361" s="59" t="n">
        <v>2.3</v>
      </c>
      <c r="E361" s="59" t="n">
        <v>2.7</v>
      </c>
      <c r="F361" s="59" t="n">
        <v>3.4</v>
      </c>
      <c r="G361" s="59" t="n">
        <v>4</v>
      </c>
      <c r="H361" s="59" t="n">
        <v>8</v>
      </c>
      <c r="I361" s="59" t="n">
        <v>12.1</v>
      </c>
      <c r="J361" s="59" t="n">
        <v>18.15</v>
      </c>
    </row>
    <row r="362" customFormat="false" ht="12.75" hidden="false" customHeight="false" outlineLevel="1" collapsed="false">
      <c r="B362" s="29" t="s">
        <v>152</v>
      </c>
      <c r="C362" s="44" t="n">
        <v>1250</v>
      </c>
      <c r="D362" s="44" t="n">
        <v>1350</v>
      </c>
      <c r="E362" s="44" t="n">
        <v>1425</v>
      </c>
      <c r="F362" s="44" t="n">
        <v>1500</v>
      </c>
      <c r="G362" s="44" t="n">
        <v>1750</v>
      </c>
      <c r="H362" s="44" t="n">
        <v>2000</v>
      </c>
      <c r="I362" s="44" t="n">
        <v>2500</v>
      </c>
      <c r="J362" s="44" t="n">
        <v>3750</v>
      </c>
    </row>
    <row r="363" customFormat="false" ht="12.75" hidden="false" customHeight="false" outlineLevel="1" collapsed="false">
      <c r="B363" s="29" t="s">
        <v>80</v>
      </c>
      <c r="C363" s="58" t="n">
        <v>25645.07334375</v>
      </c>
      <c r="D363" s="58" t="n">
        <v>28851.3330013125</v>
      </c>
      <c r="E363" s="58" t="n">
        <v>32056.3416796875</v>
      </c>
      <c r="F363" s="58" t="n">
        <v>35262.60133725</v>
      </c>
      <c r="G363" s="58" t="n">
        <v>44878.8783515625</v>
      </c>
      <c r="H363" s="58" t="n">
        <v>53854.654021875</v>
      </c>
      <c r="I363" s="58" t="n">
        <v>102580.293375</v>
      </c>
      <c r="J363" s="58" t="n">
        <v>153870.4400625</v>
      </c>
    </row>
    <row r="364" customFormat="false" ht="12.75" hidden="false" customHeight="false" outlineLevel="1" collapsed="false">
      <c r="B364" s="29" t="s">
        <v>81</v>
      </c>
      <c r="C364" s="58" t="n">
        <v>2469.52558125</v>
      </c>
      <c r="D364" s="58" t="n">
        <v>2777.91511725</v>
      </c>
      <c r="E364" s="58" t="n">
        <v>3087.509299875</v>
      </c>
      <c r="F364" s="58" t="n">
        <v>3395.898835875</v>
      </c>
      <c r="G364" s="58" t="n">
        <v>3704.288371875</v>
      </c>
      <c r="H364" s="58" t="n">
        <v>4939.0511625</v>
      </c>
      <c r="I364" s="58" t="n">
        <v>6173.813953125</v>
      </c>
      <c r="J364" s="58" t="n">
        <v>9261.323253</v>
      </c>
    </row>
    <row r="365" customFormat="false" ht="22" hidden="false" customHeight="false" outlineLevel="1" collapsed="false">
      <c r="B365" s="29" t="s">
        <v>149</v>
      </c>
      <c r="C365" s="58" t="n">
        <v>7408.57674375</v>
      </c>
      <c r="D365" s="58" t="n">
        <v>8334.949998375</v>
      </c>
      <c r="E365" s="58" t="n">
        <v>9261.323253</v>
      </c>
      <c r="F365" s="58" t="n">
        <v>11112.865115625</v>
      </c>
      <c r="G365" s="58" t="n">
        <v>13890.780232875</v>
      </c>
      <c r="H365" s="58" t="n">
        <v>18521.441859375</v>
      </c>
      <c r="I365" s="58" t="n">
        <v>23148.489546</v>
      </c>
      <c r="J365" s="58" t="n">
        <v>34722.734319</v>
      </c>
    </row>
    <row r="366" customFormat="false" ht="12.65" hidden="false" customHeight="false" outlineLevel="1" collapsed="false">
      <c r="B366" s="29" t="s">
        <v>154</v>
      </c>
      <c r="C366" s="58" t="n">
        <v>3502.741725</v>
      </c>
      <c r="D366" s="58" t="n">
        <v>3782.961063</v>
      </c>
      <c r="E366" s="58" t="n">
        <v>3993.1255665</v>
      </c>
      <c r="F366" s="58" t="n">
        <v>4203.29007</v>
      </c>
      <c r="G366" s="58" t="n">
        <v>4903.838415</v>
      </c>
      <c r="H366" s="58" t="n">
        <v>5604.38676</v>
      </c>
      <c r="I366" s="58" t="n">
        <v>7005.48345</v>
      </c>
      <c r="J366" s="58" t="n">
        <v>10508.225175</v>
      </c>
    </row>
    <row r="367" customFormat="false" ht="12.65" hidden="false" customHeight="false" outlineLevel="1" collapsed="false">
      <c r="B367" s="29" t="s">
        <v>155</v>
      </c>
      <c r="C367" s="58" t="n">
        <v>3878.9621325</v>
      </c>
      <c r="D367" s="58" t="n">
        <v>4189.76096175</v>
      </c>
      <c r="E367" s="58" t="n">
        <v>4422.257760375</v>
      </c>
      <c r="F367" s="58" t="n">
        <v>4654.754559</v>
      </c>
      <c r="G367" s="58" t="n">
        <v>5430.5469855</v>
      </c>
      <c r="H367" s="58" t="n">
        <v>6206.339412</v>
      </c>
      <c r="I367" s="58" t="n">
        <v>7757.924265</v>
      </c>
      <c r="J367" s="58" t="n">
        <v>11636.8863975</v>
      </c>
    </row>
    <row r="368" customFormat="false" ht="12.65" hidden="false" customHeight="false" outlineLevel="1" collapsed="false">
      <c r="B368" s="29" t="s">
        <v>150</v>
      </c>
      <c r="C368" s="58" t="n">
        <v>2911.630892625</v>
      </c>
      <c r="D368" s="58" t="n">
        <v>3721.153424625</v>
      </c>
      <c r="E368" s="58" t="n">
        <v>4368.04866225</v>
      </c>
      <c r="F368" s="58" t="n">
        <v>5500.41648975</v>
      </c>
      <c r="G368" s="58" t="n">
        <v>6471.3616695</v>
      </c>
      <c r="H368" s="58" t="n">
        <v>12942.723339</v>
      </c>
      <c r="I368" s="58" t="n">
        <v>19575.50765625</v>
      </c>
      <c r="J368" s="58" t="n">
        <v>29363.261484375</v>
      </c>
    </row>
    <row r="369" customFormat="false" ht="12.65" hidden="false" customHeight="false" outlineLevel="0" collapsed="false"/>
    <row r="370" customFormat="false" ht="15" hidden="false" customHeight="false" outlineLevel="0" collapsed="false">
      <c r="A370" s="33" t="s">
        <v>158</v>
      </c>
      <c r="B370" s="33"/>
      <c r="C370" s="33"/>
      <c r="D370" s="33"/>
      <c r="E370" s="33"/>
      <c r="F370" s="33"/>
      <c r="G370" s="33"/>
      <c r="H370" s="33"/>
      <c r="I370" s="33"/>
    </row>
    <row r="371" customFormat="false" ht="12.75" hidden="false" customHeight="false" outlineLevel="1" collapsed="false">
      <c r="B371" s="24" t="s">
        <v>36</v>
      </c>
      <c r="C371" s="56" t="s">
        <v>37</v>
      </c>
      <c r="D371" s="56" t="s">
        <v>38</v>
      </c>
      <c r="E371" s="56" t="s">
        <v>39</v>
      </c>
      <c r="F371" s="56" t="s">
        <v>40</v>
      </c>
      <c r="G371" s="56" t="s">
        <v>41</v>
      </c>
      <c r="H371" s="56" t="s">
        <v>42</v>
      </c>
      <c r="I371" s="56" t="s">
        <v>43</v>
      </c>
      <c r="J371" s="56" t="s">
        <v>44</v>
      </c>
    </row>
    <row r="372" customFormat="false" ht="12.75" hidden="false" customHeight="false" outlineLevel="1" collapsed="false">
      <c r="B372" s="29" t="s">
        <v>47</v>
      </c>
      <c r="C372" s="59" t="n">
        <v>1.8</v>
      </c>
      <c r="D372" s="59" t="n">
        <v>2.3</v>
      </c>
      <c r="E372" s="59" t="n">
        <v>2.7</v>
      </c>
      <c r="F372" s="59" t="n">
        <v>3.4</v>
      </c>
      <c r="G372" s="59" t="n">
        <v>4</v>
      </c>
      <c r="H372" s="59" t="n">
        <v>8</v>
      </c>
      <c r="I372" s="59" t="n">
        <v>12.1</v>
      </c>
      <c r="J372" s="59" t="n">
        <v>18.15</v>
      </c>
    </row>
    <row r="373" customFormat="false" ht="12.75" hidden="false" customHeight="false" outlineLevel="1" collapsed="false">
      <c r="B373" s="29" t="s">
        <v>152</v>
      </c>
      <c r="C373" s="44" t="n">
        <v>1250</v>
      </c>
      <c r="D373" s="44" t="n">
        <v>1350</v>
      </c>
      <c r="E373" s="44" t="n">
        <v>1425</v>
      </c>
      <c r="F373" s="44" t="n">
        <v>1500</v>
      </c>
      <c r="G373" s="44" t="n">
        <v>1750</v>
      </c>
      <c r="H373" s="44" t="n">
        <v>2000</v>
      </c>
      <c r="I373" s="44" t="n">
        <v>2500</v>
      </c>
      <c r="J373" s="44" t="n">
        <v>3750</v>
      </c>
    </row>
    <row r="374" customFormat="false" ht="12.75" hidden="false" customHeight="false" outlineLevel="1" collapsed="false">
      <c r="B374" s="29" t="s">
        <v>80</v>
      </c>
      <c r="C374" s="58" t="n">
        <v>79146.95123475</v>
      </c>
      <c r="D374" s="58" t="n">
        <v>98926.1831683125</v>
      </c>
      <c r="E374" s="58" t="n">
        <v>134765.485911</v>
      </c>
      <c r="F374" s="58" t="n">
        <v>148228.523926875</v>
      </c>
      <c r="G374" s="58" t="n">
        <v>161756.6128605</v>
      </c>
      <c r="H374" s="58" t="n">
        <v>269562.246301688</v>
      </c>
      <c r="I374" s="58" t="n">
        <v>471741.749647875</v>
      </c>
      <c r="J374" s="58" t="n">
        <v>707612.624471813</v>
      </c>
    </row>
    <row r="375" customFormat="false" ht="12.75" hidden="false" customHeight="false" outlineLevel="1" collapsed="false">
      <c r="B375" s="29" t="s">
        <v>81</v>
      </c>
      <c r="C375" s="58" t="n">
        <v>2469.52558125</v>
      </c>
      <c r="D375" s="58" t="n">
        <v>2777.91511725</v>
      </c>
      <c r="E375" s="58" t="n">
        <v>3087.509299875</v>
      </c>
      <c r="F375" s="58" t="n">
        <v>3395.898835875</v>
      </c>
      <c r="G375" s="58" t="n">
        <v>3704.288371875</v>
      </c>
      <c r="H375" s="58" t="n">
        <v>4939.0511625</v>
      </c>
      <c r="I375" s="58" t="n">
        <v>6173.813953125</v>
      </c>
      <c r="J375" s="58" t="n">
        <v>9261.323253</v>
      </c>
    </row>
    <row r="376" customFormat="false" ht="22" hidden="false" customHeight="false" outlineLevel="1" collapsed="false">
      <c r="B376" s="29" t="s">
        <v>149</v>
      </c>
      <c r="C376" s="58" t="n">
        <v>7408.57674375</v>
      </c>
      <c r="D376" s="58" t="n">
        <v>8334.949998375</v>
      </c>
      <c r="E376" s="58" t="n">
        <v>9261.323253</v>
      </c>
      <c r="F376" s="58" t="n">
        <v>11112.865115625</v>
      </c>
      <c r="G376" s="58" t="n">
        <v>13890.780232875</v>
      </c>
      <c r="H376" s="58" t="n">
        <v>18521.441859375</v>
      </c>
      <c r="I376" s="58" t="n">
        <v>23148.489546</v>
      </c>
      <c r="J376" s="58" t="n">
        <v>34722.734319</v>
      </c>
    </row>
    <row r="377" customFormat="false" ht="12.65" hidden="false" customHeight="false" outlineLevel="1" collapsed="false">
      <c r="B377" s="29" t="s">
        <v>154</v>
      </c>
      <c r="C377" s="58" t="n">
        <v>3502.741725</v>
      </c>
      <c r="D377" s="58" t="n">
        <v>3782.961063</v>
      </c>
      <c r="E377" s="58" t="n">
        <v>3993.1255665</v>
      </c>
      <c r="F377" s="58" t="n">
        <v>4203.29007</v>
      </c>
      <c r="G377" s="58" t="n">
        <v>4903.838415</v>
      </c>
      <c r="H377" s="58" t="n">
        <v>5604.38676</v>
      </c>
      <c r="I377" s="58" t="n">
        <v>7005.48345</v>
      </c>
      <c r="J377" s="58" t="n">
        <v>10508.225175</v>
      </c>
    </row>
    <row r="378" customFormat="false" ht="12.65" hidden="false" customHeight="false" outlineLevel="1" collapsed="false">
      <c r="B378" s="29" t="s">
        <v>155</v>
      </c>
      <c r="C378" s="58" t="n">
        <v>3878.9621325</v>
      </c>
      <c r="D378" s="58" t="n">
        <v>4189.76096175</v>
      </c>
      <c r="E378" s="58" t="n">
        <v>4422.257760375</v>
      </c>
      <c r="F378" s="58" t="n">
        <v>4654.754559</v>
      </c>
      <c r="G378" s="58" t="n">
        <v>5430.5469855</v>
      </c>
      <c r="H378" s="58" t="n">
        <v>6206.339412</v>
      </c>
      <c r="I378" s="58" t="n">
        <v>7757.924265</v>
      </c>
      <c r="J378" s="58" t="n">
        <v>11636.8863975</v>
      </c>
    </row>
    <row r="379" customFormat="false" ht="12.65" hidden="false" customHeight="false" outlineLevel="1" collapsed="false">
      <c r="B379" s="29" t="s">
        <v>150</v>
      </c>
      <c r="C379" s="58" t="n">
        <v>2911.630892625</v>
      </c>
      <c r="D379" s="58" t="n">
        <v>3721.153424625</v>
      </c>
      <c r="E379" s="58" t="n">
        <v>4368.04866225</v>
      </c>
      <c r="F379" s="58" t="n">
        <v>5500.41648975</v>
      </c>
      <c r="G379" s="58" t="n">
        <v>6471.3616695</v>
      </c>
      <c r="H379" s="58" t="n">
        <v>12942.723339</v>
      </c>
      <c r="I379" s="58" t="n">
        <v>19575.50765625</v>
      </c>
      <c r="J379" s="58" t="n">
        <v>29363.261484375</v>
      </c>
    </row>
    <row r="380" customFormat="false" ht="12.65" hidden="false" customHeight="false" outlineLevel="0" collapsed="false"/>
    <row r="381" customFormat="false" ht="15" hidden="false" customHeight="false" outlineLevel="0" collapsed="false">
      <c r="A381" s="33" t="s">
        <v>159</v>
      </c>
      <c r="B381" s="33"/>
      <c r="C381" s="33"/>
      <c r="D381" s="33"/>
      <c r="E381" s="33"/>
      <c r="F381" s="33"/>
      <c r="G381" s="33"/>
      <c r="H381" s="33"/>
      <c r="I381" s="33"/>
    </row>
    <row r="382" customFormat="false" ht="12.65" hidden="false" customHeight="false" outlineLevel="1" collapsed="false">
      <c r="B382" s="24" t="s">
        <v>36</v>
      </c>
      <c r="C382" s="56" t="s">
        <v>37</v>
      </c>
      <c r="D382" s="56" t="s">
        <v>38</v>
      </c>
      <c r="E382" s="56" t="s">
        <v>39</v>
      </c>
      <c r="F382" s="56" t="s">
        <v>40</v>
      </c>
      <c r="G382" s="56" t="s">
        <v>41</v>
      </c>
      <c r="H382" s="56" t="s">
        <v>42</v>
      </c>
      <c r="I382" s="56" t="s">
        <v>43</v>
      </c>
      <c r="J382" s="56" t="s">
        <v>44</v>
      </c>
    </row>
    <row r="383" customFormat="false" ht="12.65" hidden="false" customHeight="false" outlineLevel="1" collapsed="false">
      <c r="B383" s="29" t="s">
        <v>37</v>
      </c>
      <c r="C383" s="31" t="n">
        <v>6054.7392675</v>
      </c>
      <c r="D383" s="31" t="n">
        <v>4928.85799875</v>
      </c>
      <c r="E383" s="31" t="n">
        <v>5454.2692575</v>
      </c>
      <c r="F383" s="31" t="n">
        <v>5741.994470625</v>
      </c>
      <c r="G383" s="31" t="n">
        <v>6367.484064375</v>
      </c>
      <c r="H383" s="31" t="n">
        <v>7818.619921875</v>
      </c>
      <c r="I383" s="31" t="n">
        <v>10082.89225125</v>
      </c>
      <c r="J383" s="31" t="n">
        <v>14186.10398625</v>
      </c>
    </row>
    <row r="384" customFormat="false" ht="12.65" hidden="false" customHeight="false" outlineLevel="1" collapsed="false">
      <c r="B384" s="29" t="s">
        <v>38</v>
      </c>
      <c r="C384" s="31" t="n">
        <v>4928.85799875</v>
      </c>
      <c r="D384" s="31" t="n">
        <v>6705.248445</v>
      </c>
      <c r="E384" s="31" t="n">
        <v>5454.2692575</v>
      </c>
      <c r="F384" s="31" t="n">
        <v>5741.994470625</v>
      </c>
      <c r="G384" s="31" t="n">
        <v>6367.484064375</v>
      </c>
      <c r="H384" s="31" t="n">
        <v>7430.81637375</v>
      </c>
      <c r="I384" s="31" t="n">
        <v>9119.638276875</v>
      </c>
      <c r="J384" s="31" t="n">
        <v>11671.635819375</v>
      </c>
    </row>
    <row r="385" customFormat="false" ht="12.65" hidden="false" customHeight="false" outlineLevel="1" collapsed="false">
      <c r="B385" s="29" t="s">
        <v>39</v>
      </c>
      <c r="C385" s="31" t="n">
        <v>5454.2692575</v>
      </c>
      <c r="D385" s="31" t="n">
        <v>5454.2692575</v>
      </c>
      <c r="E385" s="31" t="n">
        <v>7430.81637375</v>
      </c>
      <c r="F385" s="31" t="n">
        <v>6054.7392675</v>
      </c>
      <c r="G385" s="31" t="n">
        <v>6367.484064375</v>
      </c>
      <c r="H385" s="31" t="n">
        <v>7430.81637375</v>
      </c>
      <c r="I385" s="31" t="n">
        <v>9119.638276875</v>
      </c>
      <c r="J385" s="31" t="n">
        <v>11671.635819375</v>
      </c>
    </row>
    <row r="386" customFormat="false" ht="12.65" hidden="false" customHeight="false" outlineLevel="1" collapsed="false">
      <c r="B386" s="29" t="s">
        <v>40</v>
      </c>
      <c r="C386" s="31" t="n">
        <v>5741.994470625</v>
      </c>
      <c r="D386" s="31" t="n">
        <v>5741.994470625</v>
      </c>
      <c r="E386" s="31" t="n">
        <v>6054.7392675</v>
      </c>
      <c r="F386" s="31" t="n">
        <v>8231.44305375</v>
      </c>
      <c r="G386" s="31" t="n">
        <v>6705.248445</v>
      </c>
      <c r="H386" s="31" t="n">
        <v>7818.619921875</v>
      </c>
      <c r="I386" s="31" t="n">
        <v>9595.010368125</v>
      </c>
      <c r="J386" s="31" t="n">
        <v>11671.635819375</v>
      </c>
    </row>
    <row r="387" customFormat="false" ht="12.65" hidden="false" customHeight="false" outlineLevel="1" collapsed="false">
      <c r="B387" s="29" t="s">
        <v>41</v>
      </c>
      <c r="C387" s="31" t="n">
        <v>6367.484064375</v>
      </c>
      <c r="D387" s="31" t="n">
        <v>6367.484064375</v>
      </c>
      <c r="E387" s="31" t="n">
        <v>6367.484064375</v>
      </c>
      <c r="F387" s="31" t="n">
        <v>6705.248445</v>
      </c>
      <c r="G387" s="31" t="n">
        <v>9119.638276875</v>
      </c>
      <c r="H387" s="31" t="n">
        <v>7818.619921875</v>
      </c>
      <c r="I387" s="31" t="n">
        <v>9595.010368125</v>
      </c>
      <c r="J387" s="31" t="n">
        <v>11671.635819375</v>
      </c>
    </row>
    <row r="388" customFormat="false" ht="12.65" hidden="false" customHeight="false" outlineLevel="1" collapsed="false">
      <c r="B388" s="29" t="s">
        <v>42</v>
      </c>
      <c r="C388" s="31" t="n">
        <v>7818.619921875</v>
      </c>
      <c r="D388" s="31" t="n">
        <v>7430.81637375</v>
      </c>
      <c r="E388" s="31" t="n">
        <v>7430.81637375</v>
      </c>
      <c r="F388" s="31" t="n">
        <v>7818.619921875</v>
      </c>
      <c r="G388" s="31" t="n">
        <v>7818.619921875</v>
      </c>
      <c r="H388" s="31" t="n">
        <v>11108.695185</v>
      </c>
      <c r="I388" s="31" t="n">
        <v>10082.89225125</v>
      </c>
      <c r="J388" s="31" t="n">
        <v>12247.086245625</v>
      </c>
    </row>
    <row r="389" customFormat="false" ht="12.65" hidden="false" customHeight="false" outlineLevel="1" collapsed="false">
      <c r="B389" s="29" t="s">
        <v>43</v>
      </c>
      <c r="C389" s="31" t="n">
        <v>10082.89225125</v>
      </c>
      <c r="D389" s="31" t="n">
        <v>9119.638276875</v>
      </c>
      <c r="E389" s="31" t="n">
        <v>9119.638276875</v>
      </c>
      <c r="F389" s="31" t="n">
        <v>9595.010368125</v>
      </c>
      <c r="G389" s="31" t="n">
        <v>9595.010368125</v>
      </c>
      <c r="H389" s="31" t="n">
        <v>10082.89225125</v>
      </c>
      <c r="I389" s="31" t="n">
        <v>14886.65233125</v>
      </c>
      <c r="J389" s="31" t="n">
        <v>13510.575225</v>
      </c>
    </row>
    <row r="390" customFormat="false" ht="12.65" hidden="false" customHeight="false" outlineLevel="1" collapsed="false">
      <c r="B390" s="29" t="s">
        <v>44</v>
      </c>
      <c r="C390" s="31" t="n">
        <v>14186.10398625</v>
      </c>
      <c r="D390" s="31" t="n">
        <v>11671.635819375</v>
      </c>
      <c r="E390" s="31" t="n">
        <v>11671.635819375</v>
      </c>
      <c r="F390" s="31" t="n">
        <v>11671.635819375</v>
      </c>
      <c r="G390" s="31" t="n">
        <v>11671.635819375</v>
      </c>
      <c r="H390" s="31" t="n">
        <v>12247.086245625</v>
      </c>
      <c r="I390" s="31" t="n">
        <v>13510.575225</v>
      </c>
      <c r="J390" s="31" t="n">
        <v>19953.118040625</v>
      </c>
    </row>
    <row r="391" customFormat="false" ht="12.65" hidden="false" customHeight="false" outlineLevel="0" collapsed="false"/>
    <row r="392" customFormat="false" ht="15" hidden="false" customHeight="true" outlineLevel="0" collapsed="false">
      <c r="A392" s="33" t="s">
        <v>160</v>
      </c>
      <c r="B392" s="60"/>
      <c r="C392" s="60"/>
      <c r="D392" s="60"/>
      <c r="E392" s="60"/>
      <c r="F392" s="60"/>
      <c r="G392" s="60"/>
      <c r="H392" s="60"/>
      <c r="I392" s="60"/>
    </row>
    <row r="393" customFormat="false" ht="12.75" hidden="false" customHeight="false" outlineLevel="1" collapsed="false">
      <c r="B393" s="24" t="s">
        <v>36</v>
      </c>
      <c r="C393" s="56" t="s">
        <v>37</v>
      </c>
      <c r="D393" s="56" t="s">
        <v>38</v>
      </c>
      <c r="E393" s="56" t="s">
        <v>39</v>
      </c>
      <c r="F393" s="56" t="s">
        <v>40</v>
      </c>
      <c r="G393" s="56" t="s">
        <v>41</v>
      </c>
      <c r="H393" s="56" t="s">
        <v>42</v>
      </c>
      <c r="I393" s="56" t="s">
        <v>43</v>
      </c>
      <c r="J393" s="56" t="s">
        <v>44</v>
      </c>
    </row>
    <row r="394" customFormat="false" ht="12.75" hidden="false" customHeight="false" outlineLevel="1" collapsed="false">
      <c r="B394" s="29" t="s">
        <v>161</v>
      </c>
      <c r="C394" s="31" t="n">
        <v>17406.124414875</v>
      </c>
      <c r="D394" s="31" t="n">
        <v>17406.124414875</v>
      </c>
      <c r="E394" s="31" t="n">
        <v>17406.124414875</v>
      </c>
      <c r="F394" s="31" t="n">
        <v>17406.124414875</v>
      </c>
      <c r="G394" s="31" t="n">
        <v>17406.124414875</v>
      </c>
      <c r="H394" s="31" t="n">
        <v>21545.6145463125</v>
      </c>
      <c r="I394" s="31" t="n">
        <v>26790.9702795</v>
      </c>
      <c r="J394" s="31" t="n">
        <v>38697.790186125</v>
      </c>
    </row>
    <row r="395" customFormat="false" ht="22" hidden="false" customHeight="false" outlineLevel="1" collapsed="false">
      <c r="B395" s="29" t="s">
        <v>162</v>
      </c>
      <c r="C395" s="31" t="n">
        <v>12822.536671875</v>
      </c>
      <c r="D395" s="31" t="n">
        <v>12822.536671875</v>
      </c>
      <c r="E395" s="31" t="n">
        <v>12822.536671875</v>
      </c>
      <c r="F395" s="31" t="n">
        <v>12822.536671875</v>
      </c>
      <c r="G395" s="31" t="n">
        <v>12822.536671875</v>
      </c>
      <c r="H395" s="31" t="n">
        <v>12822.536671875</v>
      </c>
      <c r="I395" s="31" t="n">
        <v>12822.536671875</v>
      </c>
      <c r="J395" s="31" t="n">
        <v>12822.536671875</v>
      </c>
    </row>
    <row r="396" customFormat="false" ht="22" hidden="false" customHeight="false" outlineLevel="1" collapsed="false">
      <c r="B396" s="29" t="s">
        <v>163</v>
      </c>
      <c r="C396" s="31" t="n">
        <v>123320.277324563</v>
      </c>
      <c r="D396" s="31" t="n">
        <v>123320.277324563</v>
      </c>
      <c r="E396" s="31" t="n">
        <v>123320.277324563</v>
      </c>
      <c r="F396" s="31" t="n">
        <v>123320.277324563</v>
      </c>
      <c r="G396" s="31" t="n">
        <v>123320.277324563</v>
      </c>
      <c r="H396" s="31" t="n">
        <v>123320.277324563</v>
      </c>
      <c r="I396" s="31" t="n">
        <v>123320.277324563</v>
      </c>
      <c r="J396" s="31" t="n">
        <v>123320.277324563</v>
      </c>
    </row>
    <row r="397" customFormat="false" ht="12.75" hidden="false" customHeight="false" outlineLevel="1" collapsed="false">
      <c r="B397" s="29" t="s">
        <v>164</v>
      </c>
      <c r="C397" s="31" t="n">
        <v>244093.561023375</v>
      </c>
      <c r="D397" s="31" t="n">
        <v>244093.561023375</v>
      </c>
      <c r="E397" s="31" t="n">
        <v>244093.561023375</v>
      </c>
      <c r="F397" s="31" t="n">
        <v>244093.561023375</v>
      </c>
      <c r="G397" s="31" t="n">
        <v>244093.561023375</v>
      </c>
      <c r="H397" s="31" t="n">
        <v>244093.561023375</v>
      </c>
      <c r="I397" s="31" t="n">
        <v>244093.561023375</v>
      </c>
      <c r="J397" s="31" t="n">
        <v>244093.561023375</v>
      </c>
      <c r="M397" s="61"/>
    </row>
    <row r="398" customFormat="false" ht="12.75" hidden="false" customHeight="true" outlineLevel="1" collapsed="false">
      <c r="B398" s="47" t="s">
        <v>165</v>
      </c>
      <c r="C398" s="62" t="s">
        <v>166</v>
      </c>
      <c r="D398" s="62"/>
      <c r="E398" s="62"/>
      <c r="F398" s="62"/>
      <c r="G398" s="62"/>
      <c r="H398" s="62"/>
      <c r="I398" s="62"/>
      <c r="J398" s="62"/>
      <c r="M398" s="10"/>
    </row>
    <row r="399" customFormat="false" ht="13.5" hidden="false" customHeight="true" outlineLevel="1" collapsed="false">
      <c r="B399" s="47"/>
      <c r="C399" s="62"/>
      <c r="D399" s="62"/>
      <c r="E399" s="62"/>
      <c r="F399" s="62"/>
      <c r="G399" s="62"/>
      <c r="H399" s="62"/>
      <c r="I399" s="62"/>
      <c r="J399" s="62"/>
      <c r="M399" s="10"/>
    </row>
    <row r="400" customFormat="false" ht="12.75" hidden="false" customHeight="true" outlineLevel="1" collapsed="false">
      <c r="B400" s="57" t="s">
        <v>167</v>
      </c>
      <c r="C400" s="62" t="s">
        <v>168</v>
      </c>
      <c r="D400" s="62"/>
      <c r="E400" s="62"/>
      <c r="F400" s="62"/>
      <c r="G400" s="62"/>
      <c r="H400" s="62"/>
      <c r="I400" s="62"/>
      <c r="J400" s="62"/>
      <c r="M400" s="10"/>
    </row>
    <row r="401" customFormat="false" ht="12.75" hidden="false" customHeight="true" outlineLevel="1" collapsed="false">
      <c r="B401" s="57"/>
      <c r="C401" s="62"/>
      <c r="D401" s="62"/>
      <c r="E401" s="62"/>
      <c r="F401" s="62"/>
      <c r="G401" s="62"/>
      <c r="H401" s="62"/>
      <c r="I401" s="62"/>
      <c r="J401" s="62"/>
      <c r="M401" s="10"/>
    </row>
    <row r="402" customFormat="false" ht="15" hidden="false" customHeight="true" outlineLevel="1" collapsed="false">
      <c r="B402" s="57"/>
      <c r="C402" s="62"/>
      <c r="D402" s="62"/>
      <c r="E402" s="62"/>
      <c r="F402" s="62"/>
      <c r="G402" s="62"/>
      <c r="H402" s="62"/>
      <c r="I402" s="62"/>
      <c r="J402" s="62"/>
      <c r="M402" s="10"/>
    </row>
    <row r="403" customFormat="false" ht="32" hidden="false" customHeight="true" outlineLevel="1" collapsed="false">
      <c r="B403" s="29" t="s">
        <v>169</v>
      </c>
      <c r="C403" s="63" t="s">
        <v>170</v>
      </c>
      <c r="D403" s="63"/>
      <c r="E403" s="63"/>
      <c r="F403" s="63"/>
      <c r="G403" s="63"/>
      <c r="H403" s="63"/>
      <c r="I403" s="63"/>
      <c r="J403" s="63"/>
      <c r="M403" s="10"/>
    </row>
    <row r="404" customFormat="false" ht="12.65" hidden="false" customHeight="false" outlineLevel="0" collapsed="false"/>
    <row r="405" customFormat="false" ht="15" hidden="false" customHeight="false" outlineLevel="0" collapsed="false">
      <c r="A405" s="33" t="s">
        <v>171</v>
      </c>
      <c r="B405" s="33"/>
      <c r="C405" s="33"/>
      <c r="D405" s="33"/>
      <c r="E405" s="33"/>
      <c r="F405" s="33"/>
      <c r="G405" s="33"/>
      <c r="H405" s="33"/>
      <c r="I405" s="33"/>
    </row>
    <row r="406" customFormat="false" ht="12.65" hidden="false" customHeight="false" outlineLevel="1" collapsed="false">
      <c r="B406" s="24" t="s">
        <v>36</v>
      </c>
      <c r="C406" s="56" t="s">
        <v>37</v>
      </c>
      <c r="D406" s="56" t="s">
        <v>38</v>
      </c>
      <c r="E406" s="56" t="s">
        <v>39</v>
      </c>
      <c r="F406" s="56" t="s">
        <v>40</v>
      </c>
      <c r="G406" s="56" t="s">
        <v>41</v>
      </c>
      <c r="H406" s="56" t="s">
        <v>42</v>
      </c>
      <c r="I406" s="56" t="s">
        <v>43</v>
      </c>
      <c r="J406" s="56" t="s">
        <v>44</v>
      </c>
    </row>
    <row r="407" customFormat="false" ht="12.65" hidden="false" customHeight="false" outlineLevel="1" collapsed="false">
      <c r="B407" s="29" t="s">
        <v>47</v>
      </c>
      <c r="C407" s="44" t="n">
        <v>18</v>
      </c>
      <c r="D407" s="44" t="n">
        <v>18</v>
      </c>
      <c r="E407" s="44" t="n">
        <v>18</v>
      </c>
      <c r="F407" s="44" t="n">
        <v>18</v>
      </c>
      <c r="G407" s="44" t="n">
        <v>18</v>
      </c>
      <c r="H407" s="44" t="n">
        <v>36</v>
      </c>
      <c r="I407" s="44" t="n">
        <v>36</v>
      </c>
      <c r="J407" s="44" t="n">
        <v>36</v>
      </c>
    </row>
    <row r="408" customFormat="false" ht="12.65" hidden="false" customHeight="false" outlineLevel="1" collapsed="false">
      <c r="B408" s="29" t="s">
        <v>172</v>
      </c>
      <c r="C408" s="31" t="n">
        <v>370428.8371875</v>
      </c>
      <c r="D408" s="31" t="n">
        <v>370428.8371875</v>
      </c>
      <c r="E408" s="31" t="n">
        <v>370428.8371875</v>
      </c>
      <c r="F408" s="31" t="n">
        <v>370428.8371875</v>
      </c>
      <c r="G408" s="31" t="n">
        <v>370428.8371875</v>
      </c>
      <c r="H408" s="31" t="n">
        <v>740857.674375</v>
      </c>
      <c r="I408" s="31" t="n">
        <v>740857.674375</v>
      </c>
      <c r="J408" s="31" t="n">
        <v>740857.674375</v>
      </c>
    </row>
    <row r="409" customFormat="false" ht="12.65" hidden="false" customHeight="false" outlineLevel="1" collapsed="false">
      <c r="B409" s="29" t="s">
        <v>173</v>
      </c>
      <c r="C409" s="31" t="n">
        <v>123476.2790625</v>
      </c>
      <c r="D409" s="31" t="n">
        <v>123476.2790625</v>
      </c>
      <c r="E409" s="31" t="n">
        <v>123476.2790625</v>
      </c>
      <c r="F409" s="31" t="n">
        <v>123476.2790625</v>
      </c>
      <c r="G409" s="31" t="n">
        <v>123476.2790625</v>
      </c>
      <c r="H409" s="31" t="n">
        <v>246952.558125</v>
      </c>
      <c r="I409" s="31" t="n">
        <v>246952.558125</v>
      </c>
      <c r="J409" s="31" t="n">
        <v>246952.558125</v>
      </c>
    </row>
    <row r="410" customFormat="false" ht="12.65" hidden="false" customHeight="false" outlineLevel="1" collapsed="false">
      <c r="B410" s="29" t="s">
        <v>174</v>
      </c>
      <c r="C410" s="31" t="n">
        <v>123476.2790625</v>
      </c>
      <c r="D410" s="31" t="n">
        <v>123476.2790625</v>
      </c>
      <c r="E410" s="31" t="n">
        <v>123476.2790625</v>
      </c>
      <c r="F410" s="31" t="n">
        <v>123476.2790625</v>
      </c>
      <c r="G410" s="31" t="n">
        <v>123476.2790625</v>
      </c>
      <c r="H410" s="31" t="n">
        <v>185214.41859375</v>
      </c>
      <c r="I410" s="31" t="n">
        <v>185214.41859375</v>
      </c>
      <c r="J410" s="31" t="n">
        <v>185214.41859375</v>
      </c>
    </row>
    <row r="411" customFormat="false" ht="12.65" hidden="false" customHeight="false" outlineLevel="1" collapsed="false">
      <c r="B411" s="29" t="s">
        <v>175</v>
      </c>
      <c r="C411" s="31" t="n">
        <v>135823.90696875</v>
      </c>
      <c r="D411" s="31" t="n">
        <v>135823.90696875</v>
      </c>
      <c r="E411" s="31" t="n">
        <v>135823.90696875</v>
      </c>
      <c r="F411" s="31" t="n">
        <v>135823.90696875</v>
      </c>
      <c r="G411" s="31" t="n">
        <v>135823.90696875</v>
      </c>
      <c r="H411" s="31" t="n">
        <v>160519.16278125</v>
      </c>
      <c r="I411" s="31" t="n">
        <v>160519.16278125</v>
      </c>
      <c r="J411" s="31" t="n">
        <v>160519.16278125</v>
      </c>
    </row>
    <row r="412" customFormat="false" ht="12.65" hidden="false" customHeight="false" outlineLevel="1" collapsed="false">
      <c r="B412" s="29" t="s">
        <v>150</v>
      </c>
      <c r="C412" s="31" t="n">
        <v>29121.12751275</v>
      </c>
      <c r="D412" s="31" t="n">
        <v>29121.12751275</v>
      </c>
      <c r="E412" s="31" t="n">
        <v>29121.12751275</v>
      </c>
      <c r="F412" s="31" t="n">
        <v>29121.12751275</v>
      </c>
      <c r="G412" s="31" t="n">
        <v>29121.12751275</v>
      </c>
      <c r="H412" s="31" t="n">
        <v>58242.2550255</v>
      </c>
      <c r="I412" s="31" t="n">
        <v>58242.2550255</v>
      </c>
      <c r="J412" s="31" t="n">
        <v>58242.2550255</v>
      </c>
    </row>
    <row r="413" customFormat="false" ht="12.65" hidden="false" customHeight="false" outlineLevel="0" collapsed="false"/>
    <row r="414" customFormat="false" ht="15" hidden="false" customHeight="false" outlineLevel="0" collapsed="false">
      <c r="A414" s="33" t="s">
        <v>176</v>
      </c>
      <c r="B414" s="33"/>
      <c r="C414" s="33"/>
      <c r="D414" s="33"/>
      <c r="E414" s="33"/>
      <c r="F414" s="33"/>
      <c r="G414" s="33"/>
      <c r="H414" s="33"/>
      <c r="I414" s="33"/>
    </row>
    <row r="415" customFormat="false" ht="12.65" hidden="false" customHeight="false" outlineLevel="1" collapsed="false">
      <c r="B415" s="24" t="s">
        <v>36</v>
      </c>
      <c r="C415" s="56" t="s">
        <v>37</v>
      </c>
      <c r="D415" s="56" t="s">
        <v>38</v>
      </c>
      <c r="E415" s="56" t="s">
        <v>39</v>
      </c>
      <c r="F415" s="56" t="s">
        <v>40</v>
      </c>
      <c r="G415" s="56" t="s">
        <v>41</v>
      </c>
      <c r="H415" s="56" t="s">
        <v>42</v>
      </c>
      <c r="I415" s="56" t="s">
        <v>43</v>
      </c>
      <c r="J415" s="56" t="s">
        <v>44</v>
      </c>
    </row>
    <row r="416" customFormat="false" ht="12.65" hidden="false" customHeight="false" outlineLevel="1" collapsed="false">
      <c r="B416" s="29" t="s">
        <v>80</v>
      </c>
      <c r="C416" s="31" t="n">
        <v>23152.103485875</v>
      </c>
      <c r="D416" s="31" t="n">
        <v>28862.128488375</v>
      </c>
      <c r="E416" s="31" t="n">
        <v>36116.510464125</v>
      </c>
      <c r="F416" s="31" t="n">
        <v>40747.172090625</v>
      </c>
      <c r="G416" s="31" t="n">
        <v>45069.444181125</v>
      </c>
      <c r="H416" s="31" t="n">
        <v>60194.987204625</v>
      </c>
      <c r="I416" s="31" t="n">
        <v>75320.530228125</v>
      </c>
      <c r="J416" s="31" t="n">
        <v>94150.3616235</v>
      </c>
    </row>
    <row r="417" customFormat="false" ht="12.65" hidden="false" customHeight="false" outlineLevel="1" collapsed="false">
      <c r="B417" s="29" t="s">
        <v>81</v>
      </c>
      <c r="C417" s="31" t="n">
        <v>46304.20697175</v>
      </c>
      <c r="D417" s="31" t="n">
        <v>57725.461623375</v>
      </c>
      <c r="E417" s="31" t="n">
        <v>72234.225574875</v>
      </c>
      <c r="F417" s="31" t="n">
        <v>81494.34418125</v>
      </c>
      <c r="G417" s="31" t="n">
        <v>90137.683715625</v>
      </c>
      <c r="H417" s="31" t="n">
        <v>120389.97440925</v>
      </c>
      <c r="I417" s="31" t="n">
        <v>150641.06045625</v>
      </c>
      <c r="J417" s="31" t="n">
        <v>188301.927893625</v>
      </c>
    </row>
    <row r="418" customFormat="false" ht="12.65" hidden="false" customHeight="false" outlineLevel="0" collapsed="false"/>
    <row r="419" customFormat="false" ht="15" hidden="false" customHeight="false" outlineLevel="0" collapsed="false">
      <c r="A419" s="33" t="s">
        <v>177</v>
      </c>
      <c r="B419" s="33"/>
      <c r="C419" s="33"/>
      <c r="D419" s="33"/>
      <c r="E419" s="33"/>
      <c r="F419" s="33"/>
      <c r="G419" s="33"/>
      <c r="H419" s="33"/>
      <c r="I419" s="33"/>
    </row>
    <row r="420" customFormat="false" ht="12.65" hidden="false" customHeight="false" outlineLevel="1" collapsed="false">
      <c r="B420" s="24" t="s">
        <v>36</v>
      </c>
      <c r="C420" s="56" t="s">
        <v>37</v>
      </c>
      <c r="D420" s="56" t="s">
        <v>38</v>
      </c>
      <c r="E420" s="56" t="s">
        <v>39</v>
      </c>
      <c r="F420" s="56" t="s">
        <v>40</v>
      </c>
      <c r="G420" s="56" t="s">
        <v>41</v>
      </c>
      <c r="H420" s="56" t="s">
        <v>42</v>
      </c>
      <c r="I420" s="56" t="s">
        <v>43</v>
      </c>
      <c r="J420" s="56" t="s">
        <v>44</v>
      </c>
    </row>
    <row r="421" customFormat="false" ht="12.65" hidden="false" customHeight="false" outlineLevel="1" collapsed="false">
      <c r="B421" s="29" t="s">
        <v>80</v>
      </c>
      <c r="C421" s="31" t="n">
        <v>3704.288371875</v>
      </c>
      <c r="D421" s="31" t="n">
        <v>3704.288371875</v>
      </c>
      <c r="E421" s="31" t="n">
        <v>3704.288371875</v>
      </c>
      <c r="F421" s="31" t="n">
        <v>3704.288371875</v>
      </c>
      <c r="G421" s="31" t="n">
        <v>3704.288371875</v>
      </c>
      <c r="H421" s="31" t="n">
        <v>4939.0511625</v>
      </c>
      <c r="I421" s="31" t="n">
        <v>4939.0511625</v>
      </c>
      <c r="J421" s="31" t="n">
        <v>4939.0511625</v>
      </c>
    </row>
    <row r="422" customFormat="false" ht="12.65" hidden="false" customHeight="false" outlineLevel="1" collapsed="false">
      <c r="B422" s="29" t="s">
        <v>81</v>
      </c>
      <c r="C422" s="31" t="n">
        <v>6173.813953125</v>
      </c>
      <c r="D422" s="31" t="n">
        <v>6173.813953125</v>
      </c>
      <c r="E422" s="31" t="n">
        <v>6173.813953125</v>
      </c>
      <c r="F422" s="31" t="n">
        <v>6173.813953125</v>
      </c>
      <c r="G422" s="31" t="n">
        <v>6173.813953125</v>
      </c>
      <c r="H422" s="31" t="n">
        <v>6173.813953125</v>
      </c>
      <c r="I422" s="31" t="n">
        <v>6173.813953125</v>
      </c>
      <c r="J422" s="31" t="n">
        <v>6173.813953125</v>
      </c>
    </row>
    <row r="423" customFormat="false" ht="12.65" hidden="false" customHeight="false" outlineLevel="0" collapsed="false"/>
    <row r="424" customFormat="false" ht="15" hidden="false" customHeight="true" outlineLevel="0" collapsed="false">
      <c r="A424" s="33" t="s">
        <v>178</v>
      </c>
      <c r="B424" s="33"/>
      <c r="C424" s="33"/>
      <c r="D424" s="33"/>
      <c r="E424" s="33"/>
      <c r="F424" s="33"/>
      <c r="G424" s="33"/>
      <c r="H424" s="33"/>
      <c r="I424" s="33"/>
    </row>
    <row r="425" customFormat="false" ht="12.65" hidden="false" customHeight="false" outlineLevel="1" collapsed="false">
      <c r="B425" s="24" t="s">
        <v>36</v>
      </c>
      <c r="C425" s="56" t="s">
        <v>37</v>
      </c>
      <c r="D425" s="56" t="s">
        <v>38</v>
      </c>
      <c r="E425" s="56" t="s">
        <v>39</v>
      </c>
      <c r="F425" s="56" t="s">
        <v>40</v>
      </c>
      <c r="G425" s="56" t="s">
        <v>41</v>
      </c>
      <c r="H425" s="56" t="s">
        <v>42</v>
      </c>
      <c r="I425" s="56" t="s">
        <v>43</v>
      </c>
      <c r="J425" s="56" t="s">
        <v>44</v>
      </c>
    </row>
    <row r="426" customFormat="false" ht="12.65" hidden="false" customHeight="false" outlineLevel="1" collapsed="false">
      <c r="B426" s="29" t="s">
        <v>80</v>
      </c>
      <c r="C426" s="31" t="n">
        <v>3704.288371875</v>
      </c>
      <c r="D426" s="31" t="n">
        <v>3704.288371875</v>
      </c>
      <c r="E426" s="31" t="n">
        <v>3704.288371875</v>
      </c>
      <c r="F426" s="31" t="n">
        <v>3704.288371875</v>
      </c>
      <c r="G426" s="31" t="n">
        <v>3704.288371875</v>
      </c>
      <c r="H426" s="31" t="n">
        <v>3704.288371875</v>
      </c>
      <c r="I426" s="31" t="n">
        <v>3704.288371875</v>
      </c>
      <c r="J426" s="31" t="n">
        <v>3704.288371875</v>
      </c>
    </row>
    <row r="427" customFormat="false" ht="12.65" hidden="false" customHeight="false" outlineLevel="1" collapsed="false">
      <c r="B427" s="29" t="s">
        <v>81</v>
      </c>
      <c r="C427" s="31" t="n">
        <v>49390.511625</v>
      </c>
      <c r="D427" s="31" t="n">
        <v>49390.511625</v>
      </c>
      <c r="E427" s="31" t="n">
        <v>49390.511625</v>
      </c>
      <c r="F427" s="31" t="n">
        <v>49390.511625</v>
      </c>
      <c r="G427" s="31" t="n">
        <v>49390.511625</v>
      </c>
      <c r="H427" s="31" t="n">
        <v>49390.511625</v>
      </c>
      <c r="I427" s="31" t="n">
        <v>49390.511625</v>
      </c>
      <c r="J427" s="31" t="n">
        <v>49390.511625</v>
      </c>
    </row>
    <row r="428" customFormat="false" ht="12.65" hidden="false" customHeight="false" outlineLevel="0" collapsed="false"/>
    <row r="429" customFormat="false" ht="15" hidden="false" customHeight="true" outlineLevel="0" collapsed="false">
      <c r="A429" s="33" t="s">
        <v>179</v>
      </c>
      <c r="C429" s="33"/>
      <c r="D429" s="33"/>
      <c r="E429" s="33"/>
      <c r="F429" s="33"/>
      <c r="G429" s="33"/>
      <c r="H429" s="33"/>
      <c r="I429" s="33"/>
      <c r="J429" s="33"/>
    </row>
    <row r="430" customFormat="false" ht="12.65" hidden="false" customHeight="false" outlineLevel="1" collapsed="false">
      <c r="B430" s="24" t="s">
        <v>36</v>
      </c>
      <c r="C430" s="56" t="s">
        <v>37</v>
      </c>
      <c r="D430" s="56" t="s">
        <v>38</v>
      </c>
      <c r="E430" s="56" t="s">
        <v>39</v>
      </c>
      <c r="F430" s="56" t="s">
        <v>40</v>
      </c>
      <c r="G430" s="56" t="s">
        <v>41</v>
      </c>
      <c r="H430" s="56" t="s">
        <v>42</v>
      </c>
      <c r="I430" s="56" t="s">
        <v>43</v>
      </c>
      <c r="J430" s="56" t="s">
        <v>44</v>
      </c>
    </row>
    <row r="431" customFormat="false" ht="12.65" hidden="false" customHeight="false" outlineLevel="1" collapsed="false">
      <c r="B431" s="29" t="s">
        <v>180</v>
      </c>
      <c r="C431" s="31" t="n">
        <v>61.436977875</v>
      </c>
      <c r="D431" s="31" t="n">
        <v>61.436977875</v>
      </c>
      <c r="E431" s="31" t="n">
        <v>61.436977875</v>
      </c>
      <c r="F431" s="31" t="n">
        <v>61.436977875</v>
      </c>
      <c r="G431" s="31" t="n">
        <v>61.436977875</v>
      </c>
      <c r="H431" s="31" t="n">
        <v>61.436977875</v>
      </c>
      <c r="I431" s="31" t="n">
        <v>61.436977875</v>
      </c>
      <c r="J431" s="31" t="n">
        <v>61.436977875</v>
      </c>
    </row>
    <row r="432" customFormat="false" ht="12.65" hidden="false" customHeight="false" outlineLevel="1" collapsed="false">
      <c r="B432" s="29" t="s">
        <v>181</v>
      </c>
      <c r="C432" s="31" t="n">
        <v>246.952558125</v>
      </c>
      <c r="D432" s="31" t="n">
        <v>246.952558125</v>
      </c>
      <c r="E432" s="31" t="n">
        <v>246.952558125</v>
      </c>
      <c r="F432" s="31" t="n">
        <v>246.952558125</v>
      </c>
      <c r="G432" s="31" t="n">
        <v>246.952558125</v>
      </c>
      <c r="H432" s="31" t="n">
        <v>246.952558125</v>
      </c>
      <c r="I432" s="31" t="n">
        <v>246.952558125</v>
      </c>
      <c r="J432" s="31" t="n">
        <v>246.952558125</v>
      </c>
    </row>
    <row r="433" customFormat="false" ht="12.65" hidden="false" customHeight="false" outlineLevel="0" collapsed="false"/>
    <row r="434" customFormat="false" ht="15" hidden="false" customHeight="false" outlineLevel="0" collapsed="false">
      <c r="A434" s="33" t="s">
        <v>182</v>
      </c>
      <c r="C434" s="55"/>
      <c r="D434" s="55"/>
      <c r="E434" s="55"/>
      <c r="F434" s="55"/>
      <c r="G434" s="55"/>
    </row>
    <row r="435" customFormat="false" ht="12.75" hidden="false" customHeight="false" outlineLevel="1" collapsed="false">
      <c r="B435" s="36" t="s">
        <v>36</v>
      </c>
      <c r="C435" s="64" t="s">
        <v>62</v>
      </c>
      <c r="D435" s="64" t="s">
        <v>63</v>
      </c>
      <c r="E435" s="64" t="s">
        <v>64</v>
      </c>
      <c r="F435" s="64" t="s">
        <v>65</v>
      </c>
      <c r="G435" s="64" t="s">
        <v>66</v>
      </c>
    </row>
    <row r="436" customFormat="false" ht="12.75" hidden="false" customHeight="false" outlineLevel="1" collapsed="false">
      <c r="B436" s="29" t="s">
        <v>183</v>
      </c>
      <c r="C436" s="44" t="s">
        <v>184</v>
      </c>
      <c r="D436" s="44" t="s">
        <v>185</v>
      </c>
      <c r="E436" s="44" t="s">
        <v>186</v>
      </c>
      <c r="F436" s="44" t="s">
        <v>187</v>
      </c>
      <c r="G436" s="44" t="s">
        <v>188</v>
      </c>
    </row>
    <row r="437" customFormat="false" ht="22" hidden="false" customHeight="false" outlineLevel="1" collapsed="false">
      <c r="B437" s="29" t="s">
        <v>189</v>
      </c>
      <c r="C437" s="44" t="s">
        <v>190</v>
      </c>
      <c r="D437" s="44" t="s">
        <v>191</v>
      </c>
      <c r="E437" s="44" t="s">
        <v>192</v>
      </c>
      <c r="F437" s="44" t="s">
        <v>193</v>
      </c>
      <c r="G437" s="44" t="s">
        <v>194</v>
      </c>
    </row>
    <row r="438" customFormat="false" ht="12.65" hidden="false" customHeight="false" outlineLevel="1" collapsed="false">
      <c r="B438" s="29" t="s">
        <v>195</v>
      </c>
      <c r="C438" s="65" t="s">
        <v>196</v>
      </c>
      <c r="D438" s="65" t="s">
        <v>196</v>
      </c>
      <c r="E438" s="65" t="s">
        <v>196</v>
      </c>
      <c r="F438" s="65" t="s">
        <v>196</v>
      </c>
      <c r="G438" s="65" t="s">
        <v>196</v>
      </c>
    </row>
    <row r="439" customFormat="false" ht="12.65" hidden="false" customHeight="false" outlineLevel="1" collapsed="false">
      <c r="B439" s="37" t="s">
        <v>197</v>
      </c>
      <c r="C439" s="66" t="n">
        <v>37.529375625</v>
      </c>
      <c r="D439" s="66" t="n">
        <v>137.607710625</v>
      </c>
      <c r="E439" s="66" t="n">
        <v>187.646878125</v>
      </c>
      <c r="F439" s="66" t="n">
        <v>231.4311496875</v>
      </c>
      <c r="G439" s="66" t="n">
        <v>289.288937109375</v>
      </c>
    </row>
    <row r="440" customFormat="false" ht="12.65" hidden="false" customHeight="false" outlineLevel="1" collapsed="false">
      <c r="B440" s="37" t="s">
        <v>198</v>
      </c>
      <c r="C440" s="66" t="n">
        <v>3.7529375625</v>
      </c>
      <c r="D440" s="66" t="n">
        <v>13.7607710625</v>
      </c>
      <c r="E440" s="66" t="n">
        <v>18.7646878125</v>
      </c>
      <c r="F440" s="66" t="n">
        <v>23.14311496875</v>
      </c>
      <c r="G440" s="66" t="n">
        <v>28.9288937109375</v>
      </c>
    </row>
    <row r="441" customFormat="false" ht="12.65" hidden="false" customHeight="false" outlineLevel="1" collapsed="false">
      <c r="B441" s="37" t="s">
        <v>199</v>
      </c>
      <c r="C441" s="66" t="n">
        <v>20.64115659375</v>
      </c>
      <c r="D441" s="66" t="n">
        <v>61.67327394375</v>
      </c>
      <c r="E441" s="66" t="n">
        <v>82.3144305375</v>
      </c>
      <c r="F441" s="66" t="n">
        <v>98.70225789375</v>
      </c>
      <c r="G441" s="66" t="n">
        <v>123.320277324563</v>
      </c>
    </row>
    <row r="442" customFormat="false" ht="12.65" hidden="false" customHeight="false" outlineLevel="1" collapsed="false">
      <c r="B442" s="37" t="s">
        <v>200</v>
      </c>
      <c r="C442" s="66" t="n">
        <v>13.38547730625</v>
      </c>
      <c r="D442" s="66" t="n">
        <v>19.64037324375</v>
      </c>
      <c r="E442" s="66" t="n">
        <v>28.522325475</v>
      </c>
      <c r="F442" s="66" t="n">
        <v>28.522325475</v>
      </c>
      <c r="G442" s="66" t="n">
        <v>38.15486521875</v>
      </c>
    </row>
    <row r="443" customFormat="false" ht="12.65" hidden="false" customHeight="false" outlineLevel="1" collapsed="false">
      <c r="B443" s="37" t="s">
        <v>201</v>
      </c>
      <c r="C443" s="66" t="n">
        <v>3.37764380625</v>
      </c>
      <c r="D443" s="66" t="n">
        <v>4.503525075</v>
      </c>
      <c r="E443" s="66" t="n">
        <v>4.62862299375</v>
      </c>
      <c r="F443" s="66" t="n">
        <v>4.87881883125</v>
      </c>
      <c r="G443" s="66" t="n">
        <v>5.12901466875</v>
      </c>
    </row>
    <row r="444" customFormat="false" ht="12.65" hidden="false" customHeight="false" outlineLevel="1" collapsed="false">
      <c r="B444" s="37" t="s">
        <v>202</v>
      </c>
      <c r="C444" s="66" t="n">
        <v>5.00391675</v>
      </c>
      <c r="D444" s="66" t="n">
        <v>12.509791875</v>
      </c>
      <c r="E444" s="66" t="n">
        <v>15.01175025</v>
      </c>
      <c r="F444" s="66" t="n">
        <v>18.7646878125</v>
      </c>
      <c r="G444" s="66" t="n">
        <v>20.2658628375</v>
      </c>
    </row>
    <row r="445" customFormat="false" ht="12.65" hidden="false" customHeight="false" outlineLevel="0" collapsed="false"/>
    <row r="446" customFormat="false" ht="15" hidden="false" customHeight="false" outlineLevel="0" collapsed="false">
      <c r="A446" s="33" t="s">
        <v>203</v>
      </c>
      <c r="B446" s="33"/>
      <c r="C446" s="33"/>
      <c r="D446" s="33"/>
      <c r="E446" s="33"/>
      <c r="F446" s="33"/>
    </row>
    <row r="447" customFormat="false" ht="12.65" hidden="false" customHeight="false" outlineLevel="1" collapsed="false">
      <c r="B447" s="36" t="s">
        <v>36</v>
      </c>
      <c r="C447" s="67" t="s">
        <v>62</v>
      </c>
      <c r="D447" s="67" t="s">
        <v>63</v>
      </c>
      <c r="E447" s="67" t="s">
        <v>64</v>
      </c>
      <c r="F447" s="67" t="s">
        <v>65</v>
      </c>
      <c r="G447" s="67" t="s">
        <v>66</v>
      </c>
    </row>
    <row r="448" customFormat="false" ht="12.65" hidden="false" customHeight="false" outlineLevel="1" collapsed="false">
      <c r="B448" s="29" t="s">
        <v>183</v>
      </c>
      <c r="C448" s="44" t="s">
        <v>184</v>
      </c>
      <c r="D448" s="44" t="s">
        <v>185</v>
      </c>
      <c r="E448" s="44" t="s">
        <v>186</v>
      </c>
      <c r="F448" s="44" t="s">
        <v>187</v>
      </c>
      <c r="G448" s="44" t="s">
        <v>188</v>
      </c>
    </row>
    <row r="449" customFormat="false" ht="12.65" hidden="false" customHeight="false" outlineLevel="1" collapsed="false">
      <c r="B449" s="29" t="s">
        <v>195</v>
      </c>
      <c r="C449" s="44" t="s">
        <v>196</v>
      </c>
      <c r="D449" s="44" t="s">
        <v>196</v>
      </c>
      <c r="E449" s="44" t="s">
        <v>196</v>
      </c>
      <c r="F449" s="44" t="s">
        <v>196</v>
      </c>
      <c r="G449" s="44" t="s">
        <v>196</v>
      </c>
    </row>
    <row r="450" customFormat="false" ht="12.65" hidden="false" customHeight="false" outlineLevel="1" collapsed="false">
      <c r="B450" s="29" t="s">
        <v>197</v>
      </c>
      <c r="C450" s="66" t="n">
        <v>90.0705015</v>
      </c>
      <c r="D450" s="66" t="n">
        <v>287.725213125</v>
      </c>
      <c r="E450" s="66" t="n">
        <v>387.803548125</v>
      </c>
      <c r="F450" s="66" t="n">
        <v>475.37209125</v>
      </c>
      <c r="G450" s="66" t="n">
        <v>578.57787421875</v>
      </c>
    </row>
    <row r="451" customFormat="false" ht="12.65" hidden="false" customHeight="false" outlineLevel="1" collapsed="false">
      <c r="B451" s="29" t="s">
        <v>200</v>
      </c>
      <c r="C451" s="66" t="n">
        <v>13.38547730625</v>
      </c>
      <c r="D451" s="66" t="n">
        <v>19.64037324375</v>
      </c>
      <c r="E451" s="66" t="n">
        <v>28.522325475</v>
      </c>
      <c r="F451" s="66" t="n">
        <v>28.522325475</v>
      </c>
      <c r="G451" s="66" t="n">
        <v>38.15486521875</v>
      </c>
    </row>
    <row r="452" customFormat="false" ht="12.65" hidden="false" customHeight="false" outlineLevel="1" collapsed="false">
      <c r="B452" s="29" t="s">
        <v>201</v>
      </c>
      <c r="C452" s="66" t="n">
        <v>3.37764380625</v>
      </c>
      <c r="D452" s="66" t="n">
        <v>4.503525075</v>
      </c>
      <c r="E452" s="66" t="n">
        <v>4.62862299375</v>
      </c>
      <c r="F452" s="66" t="n">
        <v>4.87881883125</v>
      </c>
      <c r="G452" s="66" t="n">
        <v>5.12901466875</v>
      </c>
    </row>
    <row r="453" customFormat="false" ht="12.65" hidden="false" customHeight="false" outlineLevel="1" collapsed="false">
      <c r="B453" s="29" t="s">
        <v>202</v>
      </c>
      <c r="C453" s="66" t="n">
        <v>5.00391675</v>
      </c>
      <c r="D453" s="66" t="n">
        <v>12.509791875</v>
      </c>
      <c r="E453" s="66" t="n">
        <v>15.01175025</v>
      </c>
      <c r="F453" s="66" t="n">
        <v>18.7646878125</v>
      </c>
      <c r="G453" s="66" t="n">
        <v>20.2658628375</v>
      </c>
    </row>
    <row r="454" customFormat="false" ht="12.65" hidden="false" customHeight="false" outlineLevel="0" collapsed="false"/>
    <row r="455" customFormat="false" ht="15" hidden="false" customHeight="false" outlineLevel="0" collapsed="false">
      <c r="A455" s="33" t="s">
        <v>204</v>
      </c>
      <c r="C455" s="33"/>
      <c r="D455" s="33"/>
      <c r="E455" s="33"/>
      <c r="F455" s="33"/>
      <c r="G455" s="33"/>
      <c r="H455" s="33"/>
      <c r="I455" s="33"/>
      <c r="J455" s="33"/>
    </row>
    <row r="456" customFormat="false" ht="13.5" hidden="false" customHeight="true" outlineLevel="1" collapsed="false">
      <c r="B456" s="68" t="s">
        <v>205</v>
      </c>
      <c r="C456" s="69"/>
      <c r="D456" s="69"/>
      <c r="E456" s="69"/>
      <c r="F456" s="69"/>
      <c r="G456" s="69"/>
      <c r="H456" s="69"/>
      <c r="I456" s="69"/>
      <c r="J456" s="70"/>
    </row>
    <row r="457" customFormat="false" ht="13.5" hidden="false" customHeight="true" outlineLevel="1" collapsed="false">
      <c r="B457" s="71" t="s">
        <v>36</v>
      </c>
      <c r="C457" s="72" t="s">
        <v>37</v>
      </c>
      <c r="D457" s="73" t="s">
        <v>38</v>
      </c>
      <c r="E457" s="74" t="s">
        <v>39</v>
      </c>
      <c r="F457" s="73" t="s">
        <v>40</v>
      </c>
      <c r="G457" s="73" t="s">
        <v>41</v>
      </c>
      <c r="H457" s="74" t="s">
        <v>42</v>
      </c>
      <c r="I457" s="73" t="s">
        <v>43</v>
      </c>
      <c r="J457" s="74" t="s">
        <v>44</v>
      </c>
    </row>
    <row r="458" customFormat="false" ht="13.5" hidden="false" customHeight="true" outlineLevel="1" collapsed="false">
      <c r="B458" s="75" t="s">
        <v>206</v>
      </c>
      <c r="C458" s="76" t="n">
        <v>80</v>
      </c>
      <c r="D458" s="77" t="n">
        <v>90</v>
      </c>
      <c r="E458" s="78" t="n">
        <v>95</v>
      </c>
      <c r="F458" s="77" t="n">
        <v>100</v>
      </c>
      <c r="G458" s="77" t="n">
        <v>125</v>
      </c>
      <c r="H458" s="78" t="n">
        <v>175</v>
      </c>
      <c r="I458" s="77" t="n">
        <v>200</v>
      </c>
      <c r="J458" s="78" t="n">
        <v>225</v>
      </c>
    </row>
    <row r="459" s="9" customFormat="true" ht="13.5" hidden="false" customHeight="true" outlineLevel="1" collapsed="false">
      <c r="H459" s="79"/>
      <c r="I459" s="79"/>
      <c r="J459" s="79"/>
    </row>
    <row r="460" customFormat="false" ht="13.5" hidden="false" customHeight="true" outlineLevel="1" collapsed="false">
      <c r="B460" s="68" t="s">
        <v>207</v>
      </c>
      <c r="C460" s="69"/>
      <c r="D460" s="69"/>
      <c r="E460" s="69"/>
      <c r="F460" s="69"/>
      <c r="G460" s="70"/>
    </row>
    <row r="461" customFormat="false" ht="13.5" hidden="false" customHeight="true" outlineLevel="1" collapsed="false">
      <c r="B461" s="80" t="s">
        <v>36</v>
      </c>
      <c r="C461" s="81" t="s">
        <v>62</v>
      </c>
      <c r="D461" s="81" t="s">
        <v>63</v>
      </c>
      <c r="E461" s="81" t="s">
        <v>64</v>
      </c>
      <c r="F461" s="81" t="s">
        <v>65</v>
      </c>
      <c r="G461" s="82" t="s">
        <v>66</v>
      </c>
    </row>
    <row r="462" customFormat="false" ht="13.5" hidden="false" customHeight="true" outlineLevel="1" collapsed="false">
      <c r="B462" s="75" t="s">
        <v>206</v>
      </c>
      <c r="C462" s="77" t="n">
        <v>130</v>
      </c>
      <c r="D462" s="77" t="n">
        <v>180</v>
      </c>
      <c r="E462" s="77" t="n">
        <v>200</v>
      </c>
      <c r="F462" s="77" t="n">
        <v>215</v>
      </c>
      <c r="G462" s="83" t="n">
        <v>225</v>
      </c>
    </row>
    <row r="463" customFormat="false" ht="12.65" hidden="false" customHeight="false" outlineLevel="0" collapsed="false"/>
    <row r="464" customFormat="false" ht="15" hidden="false" customHeight="true" outlineLevel="0" collapsed="false">
      <c r="A464" s="33" t="s">
        <v>208</v>
      </c>
      <c r="C464" s="46"/>
      <c r="D464" s="46"/>
      <c r="E464" s="46"/>
      <c r="F464" s="46"/>
      <c r="G464" s="46"/>
      <c r="H464" s="46"/>
      <c r="I464" s="46"/>
      <c r="J464" s="46"/>
    </row>
    <row r="465" customFormat="false" ht="12.75" hidden="false" customHeight="false" outlineLevel="1" collapsed="false">
      <c r="B465" s="24" t="s">
        <v>36</v>
      </c>
      <c r="C465" s="56" t="s">
        <v>37</v>
      </c>
      <c r="D465" s="56" t="s">
        <v>38</v>
      </c>
      <c r="E465" s="56" t="s">
        <v>39</v>
      </c>
      <c r="F465" s="56" t="s">
        <v>40</v>
      </c>
      <c r="G465" s="56" t="s">
        <v>41</v>
      </c>
      <c r="H465" s="56" t="s">
        <v>42</v>
      </c>
      <c r="I465" s="56" t="s">
        <v>43</v>
      </c>
      <c r="J465" s="56" t="s">
        <v>44</v>
      </c>
    </row>
    <row r="466" customFormat="false" ht="12.75" hidden="false" customHeight="false" outlineLevel="1" collapsed="false">
      <c r="B466" s="29" t="s">
        <v>209</v>
      </c>
      <c r="C466" s="44" t="s">
        <v>210</v>
      </c>
      <c r="D466" s="44" t="s">
        <v>211</v>
      </c>
      <c r="E466" s="44" t="s">
        <v>212</v>
      </c>
      <c r="F466" s="44" t="s">
        <v>213</v>
      </c>
      <c r="G466" s="84" t="n">
        <v>45419</v>
      </c>
      <c r="H466" s="44" t="s">
        <v>214</v>
      </c>
      <c r="I466" s="44" t="s">
        <v>215</v>
      </c>
      <c r="J466" s="44" t="s">
        <v>216</v>
      </c>
    </row>
    <row r="467" customFormat="false" ht="12.75" hidden="false" customHeight="false" outlineLevel="1" collapsed="false">
      <c r="B467" s="29" t="s">
        <v>56</v>
      </c>
      <c r="C467" s="84" t="n">
        <v>45292</v>
      </c>
      <c r="D467" s="84" t="n">
        <v>45292</v>
      </c>
      <c r="E467" s="84" t="n">
        <v>45292</v>
      </c>
      <c r="F467" s="84" t="n">
        <v>45292</v>
      </c>
      <c r="G467" s="84" t="n">
        <v>45292</v>
      </c>
      <c r="H467" s="84" t="n">
        <v>45292</v>
      </c>
      <c r="I467" s="44" t="s">
        <v>217</v>
      </c>
      <c r="J467" s="44" t="s">
        <v>218</v>
      </c>
    </row>
    <row r="468" customFormat="false" ht="22" hidden="false" customHeight="false" outlineLevel="1" collapsed="false">
      <c r="B468" s="29" t="s">
        <v>219</v>
      </c>
      <c r="C468" s="44" t="s">
        <v>220</v>
      </c>
      <c r="D468" s="44" t="s">
        <v>220</v>
      </c>
      <c r="E468" s="44" t="s">
        <v>220</v>
      </c>
      <c r="F468" s="44" t="s">
        <v>220</v>
      </c>
      <c r="G468" s="44" t="s">
        <v>220</v>
      </c>
      <c r="H468" s="44" t="s">
        <v>220</v>
      </c>
      <c r="I468" s="44" t="s">
        <v>218</v>
      </c>
      <c r="J468" s="44" t="s">
        <v>221</v>
      </c>
    </row>
    <row r="469" customFormat="false" ht="12.65" hidden="false" customHeight="false" outlineLevel="1" collapsed="false">
      <c r="B469" s="29" t="s">
        <v>222</v>
      </c>
      <c r="C469" s="44" t="s">
        <v>220</v>
      </c>
      <c r="D469" s="44" t="s">
        <v>220</v>
      </c>
      <c r="E469" s="44" t="s">
        <v>220</v>
      </c>
      <c r="F469" s="44" t="s">
        <v>220</v>
      </c>
      <c r="G469" s="44" t="s">
        <v>220</v>
      </c>
      <c r="H469" s="44" t="s">
        <v>220</v>
      </c>
      <c r="I469" s="44" t="s">
        <v>218</v>
      </c>
      <c r="J469" s="44" t="s">
        <v>221</v>
      </c>
    </row>
    <row r="470" customFormat="false" ht="12.65" hidden="false" customHeight="false" outlineLevel="0" collapsed="false"/>
    <row r="471" customFormat="false" ht="15" hidden="false" customHeight="true" outlineLevel="0" collapsed="false">
      <c r="A471" s="33" t="s">
        <v>223</v>
      </c>
      <c r="C471" s="33"/>
      <c r="D471" s="33"/>
      <c r="E471" s="33"/>
      <c r="F471" s="33"/>
      <c r="G471" s="33"/>
      <c r="H471" s="33"/>
      <c r="I471" s="33"/>
      <c r="J471" s="33"/>
    </row>
    <row r="472" customFormat="false" ht="12.65" hidden="false" customHeight="false" outlineLevel="1" collapsed="false">
      <c r="B472" s="24" t="s">
        <v>36</v>
      </c>
      <c r="C472" s="56" t="s">
        <v>37</v>
      </c>
      <c r="D472" s="56" t="s">
        <v>38</v>
      </c>
      <c r="E472" s="56" t="s">
        <v>39</v>
      </c>
      <c r="F472" s="56" t="s">
        <v>40</v>
      </c>
      <c r="G472" s="56" t="s">
        <v>41</v>
      </c>
      <c r="H472" s="56" t="s">
        <v>42</v>
      </c>
      <c r="I472" s="56" t="s">
        <v>43</v>
      </c>
      <c r="J472" s="56" t="s">
        <v>44</v>
      </c>
    </row>
    <row r="473" customFormat="false" ht="12.65" hidden="false" customHeight="false" outlineLevel="1" collapsed="false">
      <c r="B473" s="29" t="s">
        <v>209</v>
      </c>
      <c r="C473" s="44" t="s">
        <v>224</v>
      </c>
      <c r="D473" s="44" t="s">
        <v>225</v>
      </c>
      <c r="E473" s="44" t="s">
        <v>226</v>
      </c>
      <c r="F473" s="44" t="s">
        <v>227</v>
      </c>
      <c r="G473" s="44" t="s">
        <v>228</v>
      </c>
      <c r="H473" s="44" t="s">
        <v>76</v>
      </c>
      <c r="I473" s="44" t="s">
        <v>76</v>
      </c>
      <c r="J473" s="44" t="s">
        <v>76</v>
      </c>
    </row>
    <row r="474" customFormat="false" ht="12.65" hidden="false" customHeight="false" outlineLevel="1" collapsed="false">
      <c r="B474" s="29" t="s">
        <v>56</v>
      </c>
      <c r="C474" s="84" t="n">
        <v>45292</v>
      </c>
      <c r="D474" s="84" t="n">
        <v>45292</v>
      </c>
      <c r="E474" s="44" t="s">
        <v>217</v>
      </c>
      <c r="F474" s="44" t="s">
        <v>217</v>
      </c>
      <c r="G474" s="44" t="s">
        <v>217</v>
      </c>
      <c r="H474" s="44" t="s">
        <v>76</v>
      </c>
      <c r="I474" s="44" t="s">
        <v>76</v>
      </c>
      <c r="J474" s="44" t="s">
        <v>76</v>
      </c>
    </row>
    <row r="475" customFormat="false" ht="12.65" hidden="false" customHeight="false" outlineLevel="1" collapsed="false">
      <c r="B475" s="29" t="s">
        <v>222</v>
      </c>
      <c r="C475" s="44" t="s">
        <v>229</v>
      </c>
      <c r="D475" s="44" t="s">
        <v>229</v>
      </c>
      <c r="E475" s="44" t="s">
        <v>230</v>
      </c>
      <c r="F475" s="44" t="s">
        <v>230</v>
      </c>
      <c r="G475" s="44" t="s">
        <v>230</v>
      </c>
      <c r="H475" s="44" t="s">
        <v>76</v>
      </c>
      <c r="I475" s="44" t="s">
        <v>76</v>
      </c>
      <c r="J475" s="44" t="s">
        <v>76</v>
      </c>
    </row>
    <row r="476" customFormat="false" ht="12.65" hidden="false" customHeight="false" outlineLevel="0" collapsed="false"/>
    <row r="477" customFormat="false" ht="15" hidden="false" customHeight="true" outlineLevel="0" collapsed="false">
      <c r="A477" s="33" t="s">
        <v>231</v>
      </c>
      <c r="C477" s="33"/>
      <c r="D477" s="33"/>
      <c r="E477" s="33"/>
      <c r="F477" s="33"/>
      <c r="G477" s="33"/>
    </row>
    <row r="478" customFormat="false" ht="12.65" hidden="false" customHeight="false" outlineLevel="1" collapsed="false">
      <c r="B478" s="36" t="s">
        <v>36</v>
      </c>
      <c r="C478" s="67" t="s">
        <v>62</v>
      </c>
      <c r="D478" s="67" t="s">
        <v>63</v>
      </c>
      <c r="E478" s="67" t="s">
        <v>64</v>
      </c>
      <c r="F478" s="67" t="s">
        <v>65</v>
      </c>
      <c r="G478" s="67" t="s">
        <v>66</v>
      </c>
    </row>
    <row r="479" customFormat="false" ht="12.65" hidden="false" customHeight="false" outlineLevel="1" collapsed="false">
      <c r="B479" s="29" t="s">
        <v>209</v>
      </c>
      <c r="C479" s="44" t="n">
        <v>4.5</v>
      </c>
      <c r="D479" s="44" t="n">
        <v>4</v>
      </c>
      <c r="E479" s="44" t="n">
        <v>3.5</v>
      </c>
      <c r="F479" s="44" t="n">
        <v>3</v>
      </c>
      <c r="G479" s="44" t="n">
        <v>3.5</v>
      </c>
    </row>
    <row r="480" customFormat="false" ht="12.65" hidden="false" customHeight="false" outlineLevel="1" collapsed="false">
      <c r="B480" s="29" t="s">
        <v>56</v>
      </c>
      <c r="C480" s="44" t="n">
        <v>0.5</v>
      </c>
      <c r="D480" s="44" t="n">
        <v>0.5</v>
      </c>
      <c r="E480" s="44" t="n">
        <v>0.5</v>
      </c>
      <c r="F480" s="44" t="n">
        <v>0.5</v>
      </c>
      <c r="G480" s="44" t="n">
        <v>0.25</v>
      </c>
    </row>
    <row r="481" customFormat="false" ht="12.65" hidden="false" customHeight="false" outlineLevel="1" collapsed="false">
      <c r="B481" s="29" t="s">
        <v>232</v>
      </c>
      <c r="C481" s="44" t="n">
        <v>0.25</v>
      </c>
      <c r="D481" s="44" t="n">
        <v>0.25</v>
      </c>
      <c r="E481" s="44" t="n">
        <v>0.25</v>
      </c>
      <c r="F481" s="44" t="n">
        <v>0.25</v>
      </c>
      <c r="G481" s="44" t="n">
        <v>0.125</v>
      </c>
    </row>
    <row r="482" customFormat="false" ht="12.65" hidden="false" customHeight="false" outlineLevel="1" collapsed="false">
      <c r="B482" s="29" t="s">
        <v>233</v>
      </c>
      <c r="C482" s="44" t="n">
        <v>0.25</v>
      </c>
      <c r="D482" s="44" t="n">
        <v>0.25</v>
      </c>
      <c r="E482" s="44" t="n">
        <v>0.25</v>
      </c>
      <c r="F482" s="44" t="n">
        <v>0.25</v>
      </c>
      <c r="G482" s="44" t="n">
        <v>0.125</v>
      </c>
    </row>
    <row r="483" customFormat="false" ht="12.65" hidden="false" customHeight="false" outlineLevel="0" collapsed="false"/>
    <row r="484" customFormat="false" ht="15" hidden="false" customHeight="false" outlineLevel="0" collapsed="false">
      <c r="A484" s="33" t="s">
        <v>234</v>
      </c>
      <c r="B484" s="33"/>
      <c r="C484" s="33"/>
      <c r="D484" s="33"/>
      <c r="E484" s="33"/>
      <c r="F484" s="33"/>
      <c r="G484" s="33"/>
      <c r="H484" s="33"/>
      <c r="I484" s="33"/>
    </row>
    <row r="485" customFormat="false" ht="12.65" hidden="false" customHeight="false" outlineLevel="1" collapsed="false">
      <c r="B485" s="24" t="s">
        <v>36</v>
      </c>
      <c r="C485" s="56" t="s">
        <v>37</v>
      </c>
      <c r="D485" s="56" t="s">
        <v>38</v>
      </c>
      <c r="E485" s="56" t="s">
        <v>39</v>
      </c>
      <c r="F485" s="56" t="s">
        <v>40</v>
      </c>
      <c r="G485" s="56" t="s">
        <v>41</v>
      </c>
      <c r="H485" s="56" t="s">
        <v>42</v>
      </c>
      <c r="I485" s="56" t="s">
        <v>43</v>
      </c>
      <c r="J485" s="56" t="s">
        <v>44</v>
      </c>
    </row>
    <row r="486" customFormat="false" ht="12.65" hidden="false" customHeight="false" outlineLevel="1" collapsed="false">
      <c r="B486" s="29" t="s">
        <v>235</v>
      </c>
      <c r="C486" s="44" t="s">
        <v>236</v>
      </c>
      <c r="D486" s="44" t="s">
        <v>237</v>
      </c>
      <c r="E486" s="44" t="s">
        <v>237</v>
      </c>
      <c r="F486" s="44" t="s">
        <v>237</v>
      </c>
      <c r="G486" s="44" t="s">
        <v>237</v>
      </c>
      <c r="H486" s="44" t="s">
        <v>237</v>
      </c>
      <c r="I486" s="44" t="s">
        <v>238</v>
      </c>
      <c r="J486" s="44" t="s">
        <v>237</v>
      </c>
    </row>
    <row r="487" customFormat="false" ht="12.65" hidden="false" customHeight="false" outlineLevel="1" collapsed="false">
      <c r="B487" s="29" t="s">
        <v>239</v>
      </c>
      <c r="C487" s="44" t="s">
        <v>84</v>
      </c>
      <c r="D487" s="44" t="s">
        <v>84</v>
      </c>
      <c r="E487" s="44" t="s">
        <v>84</v>
      </c>
      <c r="F487" s="44" t="s">
        <v>84</v>
      </c>
      <c r="G487" s="44" t="s">
        <v>84</v>
      </c>
      <c r="H487" s="44" t="s">
        <v>84</v>
      </c>
      <c r="I487" s="44" t="s">
        <v>83</v>
      </c>
      <c r="J487" s="44" t="s">
        <v>83</v>
      </c>
    </row>
    <row r="488" customFormat="false" ht="12.65" hidden="false" customHeight="false" outlineLevel="1" collapsed="false">
      <c r="B488" s="29" t="s">
        <v>240</v>
      </c>
      <c r="C488" s="44" t="n">
        <v>1</v>
      </c>
      <c r="D488" s="44" t="n">
        <v>1</v>
      </c>
      <c r="E488" s="44" t="n">
        <v>1</v>
      </c>
      <c r="F488" s="44" t="n">
        <v>1</v>
      </c>
      <c r="G488" s="44" t="n">
        <v>1</v>
      </c>
      <c r="H488" s="44" t="n">
        <v>2</v>
      </c>
      <c r="I488" s="44" t="n">
        <v>3</v>
      </c>
      <c r="J488" s="44" t="n">
        <v>6</v>
      </c>
    </row>
    <row r="489" customFormat="false" ht="12.65" hidden="false" customHeight="false" outlineLevel="1" collapsed="false">
      <c r="B489" s="29" t="s">
        <v>241</v>
      </c>
      <c r="C489" s="30" t="n">
        <v>1175</v>
      </c>
      <c r="D489" s="30" t="n">
        <v>1650</v>
      </c>
      <c r="E489" s="30" t="n">
        <v>1650</v>
      </c>
      <c r="F489" s="30" t="n">
        <v>1650</v>
      </c>
      <c r="G489" s="30" t="n">
        <v>1650</v>
      </c>
      <c r="H489" s="30" t="n">
        <v>3000</v>
      </c>
      <c r="I489" s="30" t="n">
        <v>3000</v>
      </c>
      <c r="J489" s="30" t="n">
        <v>5000</v>
      </c>
    </row>
    <row r="490" customFormat="false" ht="12.65" hidden="false" customHeight="false" outlineLevel="1" collapsed="false">
      <c r="B490" s="29" t="s">
        <v>242</v>
      </c>
      <c r="C490" s="44" t="n">
        <v>140</v>
      </c>
      <c r="D490" s="44" t="n">
        <v>329</v>
      </c>
      <c r="E490" s="44" t="n">
        <v>394</v>
      </c>
      <c r="F490" s="44" t="n">
        <v>460</v>
      </c>
      <c r="G490" s="44" t="n">
        <v>657</v>
      </c>
      <c r="H490" s="30" t="n">
        <v>1792</v>
      </c>
      <c r="I490" s="30" t="n">
        <v>2598</v>
      </c>
      <c r="J490" s="30" t="n">
        <v>6625</v>
      </c>
    </row>
    <row r="491" customFormat="false" ht="12.65" hidden="false" customHeight="false" outlineLevel="0" collapsed="false"/>
    <row r="492" customFormat="false" ht="15" hidden="false" customHeight="false" outlineLevel="0" collapsed="false">
      <c r="A492" s="33" t="s">
        <v>243</v>
      </c>
      <c r="B492" s="33"/>
      <c r="C492" s="33"/>
      <c r="D492" s="33"/>
      <c r="E492" s="33"/>
      <c r="F492" s="33"/>
    </row>
    <row r="493" customFormat="false" ht="12.65" hidden="false" customHeight="false" outlineLevel="1" collapsed="false">
      <c r="B493" s="36" t="s">
        <v>36</v>
      </c>
      <c r="C493" s="67" t="s">
        <v>62</v>
      </c>
      <c r="D493" s="67" t="s">
        <v>63</v>
      </c>
      <c r="E493" s="67" t="s">
        <v>64</v>
      </c>
      <c r="F493" s="67" t="s">
        <v>65</v>
      </c>
      <c r="G493" s="67" t="s">
        <v>66</v>
      </c>
    </row>
    <row r="494" customFormat="false" ht="12.65" hidden="false" customHeight="false" outlineLevel="1" collapsed="false">
      <c r="B494" s="29" t="s">
        <v>235</v>
      </c>
      <c r="C494" s="44" t="s">
        <v>244</v>
      </c>
      <c r="D494" s="44" t="s">
        <v>244</v>
      </c>
      <c r="E494" s="44" t="s">
        <v>244</v>
      </c>
      <c r="F494" s="44" t="s">
        <v>244</v>
      </c>
      <c r="G494" s="44" t="s">
        <v>237</v>
      </c>
    </row>
    <row r="495" customFormat="false" ht="12.65" hidden="false" customHeight="false" outlineLevel="1" collapsed="false">
      <c r="B495" s="29" t="s">
        <v>239</v>
      </c>
      <c r="C495" s="44" t="s">
        <v>83</v>
      </c>
      <c r="D495" s="44" t="s">
        <v>83</v>
      </c>
      <c r="E495" s="44" t="s">
        <v>83</v>
      </c>
      <c r="F495" s="44" t="s">
        <v>83</v>
      </c>
      <c r="G495" s="44" t="s">
        <v>83</v>
      </c>
    </row>
    <row r="496" customFormat="false" ht="12.65" hidden="false" customHeight="false" outlineLevel="1" collapsed="false">
      <c r="B496" s="29" t="s">
        <v>245</v>
      </c>
      <c r="C496" s="44" t="n">
        <v>1</v>
      </c>
      <c r="D496" s="44" t="n">
        <v>2</v>
      </c>
      <c r="E496" s="44" t="n">
        <v>2</v>
      </c>
      <c r="F496" s="44" t="n">
        <v>2</v>
      </c>
      <c r="G496" s="44" t="n">
        <v>6</v>
      </c>
    </row>
    <row r="497" customFormat="false" ht="12.65" hidden="false" customHeight="false" outlineLevel="1" collapsed="false">
      <c r="B497" s="29" t="s">
        <v>246</v>
      </c>
      <c r="C497" s="44" t="s">
        <v>184</v>
      </c>
      <c r="D497" s="44" t="s">
        <v>185</v>
      </c>
      <c r="E497" s="44" t="s">
        <v>186</v>
      </c>
      <c r="F497" s="44" t="s">
        <v>187</v>
      </c>
      <c r="G497" s="44" t="s">
        <v>247</v>
      </c>
    </row>
    <row r="498" customFormat="false" ht="12.65" hidden="false" customHeight="false" outlineLevel="0" collapsed="false"/>
    <row r="499" customFormat="false" ht="15" hidden="false" customHeight="false" outlineLevel="0" collapsed="false">
      <c r="A499" s="33" t="s">
        <v>248</v>
      </c>
      <c r="B499" s="33"/>
      <c r="C499" s="33"/>
      <c r="D499" s="33"/>
      <c r="E499" s="33"/>
      <c r="F499" s="33"/>
      <c r="G499" s="33"/>
    </row>
    <row r="500" customFormat="false" ht="12.75" hidden="false" customHeight="true" outlineLevel="1" collapsed="false">
      <c r="B500" s="85" t="s">
        <v>14</v>
      </c>
      <c r="C500" s="86" t="s">
        <v>249</v>
      </c>
      <c r="D500" s="87"/>
      <c r="E500" s="88"/>
      <c r="F500" s="86" t="s">
        <v>250</v>
      </c>
      <c r="G500" s="87"/>
      <c r="H500" s="88"/>
    </row>
    <row r="501" customFormat="false" ht="12.75" hidden="false" customHeight="true" outlineLevel="1" collapsed="false">
      <c r="B501" s="89"/>
      <c r="C501" s="90" t="s">
        <v>251</v>
      </c>
      <c r="D501" s="91"/>
      <c r="E501" s="92"/>
      <c r="F501" s="90" t="s">
        <v>252</v>
      </c>
      <c r="G501" s="91"/>
      <c r="H501" s="92"/>
    </row>
    <row r="502" customFormat="false" ht="15" hidden="false" customHeight="true" outlineLevel="1" collapsed="false">
      <c r="B502" s="89"/>
      <c r="C502" s="93" t="s">
        <v>253</v>
      </c>
      <c r="D502" s="94"/>
      <c r="E502" s="95"/>
      <c r="F502" s="96"/>
      <c r="G502" s="97"/>
      <c r="H502" s="98"/>
    </row>
    <row r="503" customFormat="false" ht="12.65" hidden="false" customHeight="false" outlineLevel="1" collapsed="false">
      <c r="B503" s="99"/>
      <c r="C503" s="95" t="s">
        <v>254</v>
      </c>
      <c r="D503" s="95" t="s">
        <v>255</v>
      </c>
      <c r="E503" s="95" t="s">
        <v>256</v>
      </c>
      <c r="F503" s="95" t="s">
        <v>257</v>
      </c>
      <c r="G503" s="95" t="s">
        <v>258</v>
      </c>
      <c r="H503" s="95" t="s">
        <v>259</v>
      </c>
    </row>
    <row r="504" customFormat="false" ht="12.65" hidden="false" customHeight="false" outlineLevel="1" collapsed="false">
      <c r="B504" s="49" t="s">
        <v>20</v>
      </c>
      <c r="C504" s="100" t="n">
        <v>0.25</v>
      </c>
      <c r="D504" s="100" t="n">
        <v>0.65</v>
      </c>
      <c r="E504" s="100" t="n">
        <v>0.1</v>
      </c>
      <c r="F504" s="100" t="n">
        <v>0.4</v>
      </c>
      <c r="G504" s="100" t="n">
        <v>0.55</v>
      </c>
      <c r="H504" s="100" t="n">
        <v>0.05</v>
      </c>
    </row>
    <row r="505" customFormat="false" ht="12.65" hidden="false" customHeight="false" outlineLevel="1" collapsed="false">
      <c r="B505" s="49" t="s">
        <v>21</v>
      </c>
      <c r="C505" s="100" t="n">
        <v>0.25</v>
      </c>
      <c r="D505" s="100" t="n">
        <v>0.65</v>
      </c>
      <c r="E505" s="100" t="n">
        <v>0.1</v>
      </c>
      <c r="F505" s="100" t="n">
        <v>0.55</v>
      </c>
      <c r="G505" s="100" t="n">
        <v>0.4</v>
      </c>
      <c r="H505" s="100" t="n">
        <v>0.05</v>
      </c>
    </row>
    <row r="506" customFormat="false" ht="12.65" hidden="false" customHeight="false" outlineLevel="1" collapsed="false">
      <c r="B506" s="49" t="s">
        <v>22</v>
      </c>
      <c r="C506" s="100" t="n">
        <v>0.25</v>
      </c>
      <c r="D506" s="100" t="n">
        <v>0.65</v>
      </c>
      <c r="E506" s="100" t="n">
        <v>0.1</v>
      </c>
      <c r="F506" s="100" t="n">
        <v>0.8</v>
      </c>
      <c r="G506" s="100" t="n">
        <v>0.15</v>
      </c>
      <c r="H506" s="100" t="n">
        <v>0.05</v>
      </c>
    </row>
    <row r="507" customFormat="false" ht="12.65" hidden="false" customHeight="false" outlineLevel="1" collapsed="false">
      <c r="B507" s="49" t="s">
        <v>23</v>
      </c>
      <c r="C507" s="100" t="n">
        <v>0.1</v>
      </c>
      <c r="D507" s="100" t="n">
        <v>0.8</v>
      </c>
      <c r="E507" s="100" t="n">
        <v>0.1</v>
      </c>
      <c r="F507" s="100" t="n">
        <v>0.8</v>
      </c>
      <c r="G507" s="100" t="n">
        <v>0.15</v>
      </c>
      <c r="H507" s="100" t="n">
        <v>0.05</v>
      </c>
    </row>
    <row r="508" customFormat="false" ht="12.65" hidden="false" customHeight="false" outlineLevel="1" collapsed="false">
      <c r="B508" s="49" t="s">
        <v>24</v>
      </c>
      <c r="C508" s="100" t="n">
        <v>0.25</v>
      </c>
      <c r="D508" s="100" t="n">
        <v>0.65</v>
      </c>
      <c r="E508" s="100" t="n">
        <v>0.1</v>
      </c>
      <c r="F508" s="100" t="n">
        <v>0.65</v>
      </c>
      <c r="G508" s="100" t="n">
        <v>0.25</v>
      </c>
      <c r="H508" s="100" t="n">
        <v>0.1</v>
      </c>
    </row>
    <row r="509" customFormat="false" ht="12.65" hidden="false" customHeight="false" outlineLevel="1" collapsed="false">
      <c r="B509" s="49" t="s">
        <v>25</v>
      </c>
      <c r="C509" s="100" t="n">
        <v>0.25</v>
      </c>
      <c r="D509" s="100" t="n">
        <v>0.65</v>
      </c>
      <c r="E509" s="100" t="n">
        <v>0.1</v>
      </c>
      <c r="F509" s="100" t="n">
        <v>0.55</v>
      </c>
      <c r="G509" s="100" t="n">
        <v>0.25</v>
      </c>
      <c r="H509" s="100" t="n">
        <v>0.2</v>
      </c>
    </row>
    <row r="510" customFormat="false" ht="12.65" hidden="false" customHeight="false" outlineLevel="1" collapsed="false">
      <c r="B510" s="49" t="s">
        <v>26</v>
      </c>
      <c r="C510" s="100" t="n">
        <v>0.25</v>
      </c>
      <c r="D510" s="100" t="n">
        <v>0.65</v>
      </c>
      <c r="E510" s="100" t="n">
        <v>0.1</v>
      </c>
      <c r="F510" s="100" t="n">
        <v>0.5</v>
      </c>
      <c r="G510" s="100" t="n">
        <v>0.4</v>
      </c>
      <c r="H510" s="100" t="n">
        <v>0.1</v>
      </c>
    </row>
    <row r="511" customFormat="false" ht="12.65" hidden="false" customHeight="false" outlineLevel="1" collapsed="false">
      <c r="B511" s="49" t="s">
        <v>27</v>
      </c>
      <c r="C511" s="100" t="n">
        <v>0.1</v>
      </c>
      <c r="D511" s="100" t="n">
        <v>0.8</v>
      </c>
      <c r="E511" s="100" t="n">
        <v>0.1</v>
      </c>
      <c r="F511" s="100" t="n">
        <v>0.7</v>
      </c>
      <c r="G511" s="100" t="n">
        <v>0.25</v>
      </c>
      <c r="H511" s="100" t="n">
        <v>0.05</v>
      </c>
    </row>
    <row r="512" customFormat="false" ht="12.65" hidden="false" customHeight="false" outlineLevel="1" collapsed="false">
      <c r="B512" s="49" t="s">
        <v>28</v>
      </c>
      <c r="C512" s="100" t="n">
        <v>0.25</v>
      </c>
      <c r="D512" s="100" t="n">
        <v>0.65</v>
      </c>
      <c r="E512" s="100" t="n">
        <v>0.1</v>
      </c>
      <c r="F512" s="100" t="n">
        <v>0.55</v>
      </c>
      <c r="G512" s="100" t="n">
        <v>0.25</v>
      </c>
      <c r="H512" s="100" t="n">
        <v>0.2</v>
      </c>
    </row>
    <row r="513" customFormat="false" ht="12.65" hidden="false" customHeight="false" outlineLevel="1" collapsed="false">
      <c r="B513" s="49" t="s">
        <v>29</v>
      </c>
      <c r="C513" s="100" t="n">
        <v>0.25</v>
      </c>
      <c r="D513" s="100" t="n">
        <v>0.65</v>
      </c>
      <c r="E513" s="100" t="n">
        <v>0.1</v>
      </c>
      <c r="F513" s="100" t="n">
        <v>0.4</v>
      </c>
      <c r="G513" s="100" t="n">
        <v>0.55</v>
      </c>
      <c r="H513" s="100" t="n">
        <v>0.05</v>
      </c>
    </row>
    <row r="514" customFormat="false" ht="12.65" hidden="false" customHeight="false" outlineLevel="1" collapsed="false">
      <c r="B514" s="49" t="s">
        <v>30</v>
      </c>
      <c r="C514" s="100" t="n">
        <v>0.7</v>
      </c>
      <c r="D514" s="100" t="n">
        <v>0.2</v>
      </c>
      <c r="E514" s="100" t="n">
        <v>0.1</v>
      </c>
      <c r="F514" s="100" t="n">
        <v>0.85</v>
      </c>
      <c r="G514" s="100" t="n">
        <v>0.1</v>
      </c>
      <c r="H514" s="100" t="n">
        <v>0.05</v>
      </c>
    </row>
    <row r="515" customFormat="false" ht="12.65" hidden="false" customHeight="false" outlineLevel="1" collapsed="false">
      <c r="B515" s="49" t="s">
        <v>31</v>
      </c>
      <c r="C515" s="100" t="n">
        <v>0.7</v>
      </c>
      <c r="D515" s="100" t="n">
        <v>0.2</v>
      </c>
      <c r="E515" s="100" t="n">
        <v>0.1</v>
      </c>
      <c r="F515" s="100" t="n">
        <v>0.9</v>
      </c>
      <c r="G515" s="100" t="n">
        <v>0.05</v>
      </c>
      <c r="H515" s="100" t="n">
        <v>0.05</v>
      </c>
    </row>
    <row r="516" customFormat="false" ht="12.65" hidden="false" customHeight="false" outlineLevel="1" collapsed="false">
      <c r="B516" s="49" t="s">
        <v>32</v>
      </c>
      <c r="C516" s="100" t="n">
        <v>0.5</v>
      </c>
      <c r="D516" s="100" t="n">
        <v>0.4</v>
      </c>
      <c r="E516" s="100" t="n">
        <v>0.1</v>
      </c>
      <c r="F516" s="100" t="n">
        <v>0.9</v>
      </c>
      <c r="G516" s="100" t="n">
        <v>0.05</v>
      </c>
      <c r="H516" s="100" t="n">
        <v>0.05</v>
      </c>
    </row>
    <row r="517" customFormat="false" ht="12.65" hidden="false" customHeight="false" outlineLevel="1" collapsed="false">
      <c r="B517" s="49" t="s">
        <v>33</v>
      </c>
      <c r="C517" s="100" t="n">
        <v>0.65</v>
      </c>
      <c r="D517" s="100" t="n">
        <v>0.25</v>
      </c>
      <c r="E517" s="100" t="n">
        <v>0.1</v>
      </c>
      <c r="F517" s="100" t="n">
        <v>0.5</v>
      </c>
      <c r="G517" s="100" t="n">
        <v>0.3</v>
      </c>
      <c r="H517" s="100" t="n">
        <v>0.2</v>
      </c>
    </row>
    <row r="518" customFormat="false" ht="12.65" hidden="false" customHeight="false" outlineLevel="1" collapsed="false">
      <c r="B518" s="49" t="s">
        <v>34</v>
      </c>
      <c r="C518" s="100" t="n">
        <v>0.25</v>
      </c>
      <c r="D518" s="100" t="n">
        <v>0.65</v>
      </c>
      <c r="E518" s="100" t="n">
        <v>0.1</v>
      </c>
      <c r="F518" s="100" t="n">
        <v>0.7</v>
      </c>
      <c r="G518" s="100" t="n">
        <v>0.25</v>
      </c>
      <c r="H518" s="100" t="n">
        <v>0.05</v>
      </c>
    </row>
    <row r="519" customFormat="false" ht="12.65" hidden="false" customHeight="false" outlineLevel="0" collapsed="false"/>
    <row r="520" customFormat="false" ht="15" hidden="false" customHeight="false" outlineLevel="0" collapsed="false">
      <c r="A520" s="33" t="s">
        <v>260</v>
      </c>
      <c r="B520" s="33"/>
      <c r="C520" s="33"/>
      <c r="D520" s="33"/>
      <c r="E520" s="33"/>
      <c r="F520" s="33"/>
      <c r="G520" s="33"/>
      <c r="H520" s="33"/>
      <c r="I520" s="33"/>
    </row>
    <row r="521" customFormat="false" ht="12.65" hidden="false" customHeight="false" outlineLevel="1" collapsed="false">
      <c r="B521" s="24" t="s">
        <v>36</v>
      </c>
      <c r="C521" s="56" t="s">
        <v>37</v>
      </c>
      <c r="D521" s="56" t="s">
        <v>38</v>
      </c>
      <c r="E521" s="56" t="s">
        <v>39</v>
      </c>
      <c r="F521" s="56" t="s">
        <v>40</v>
      </c>
      <c r="G521" s="56" t="s">
        <v>41</v>
      </c>
      <c r="H521" s="56" t="s">
        <v>42</v>
      </c>
      <c r="I521" s="56" t="s">
        <v>43</v>
      </c>
      <c r="J521" s="56" t="s">
        <v>44</v>
      </c>
    </row>
    <row r="522" customFormat="false" ht="12.65" hidden="false" customHeight="false" outlineLevel="1" collapsed="false">
      <c r="B522" s="29" t="s">
        <v>241</v>
      </c>
      <c r="C522" s="30" t="n">
        <v>1200</v>
      </c>
      <c r="D522" s="30" t="n">
        <v>3000</v>
      </c>
      <c r="E522" s="30" t="n">
        <v>3000</v>
      </c>
      <c r="F522" s="30" t="n">
        <v>3000</v>
      </c>
      <c r="G522" s="30" t="n">
        <v>3000</v>
      </c>
      <c r="H522" s="30" t="n">
        <v>3000</v>
      </c>
      <c r="I522" s="30" t="n">
        <v>3000</v>
      </c>
      <c r="J522" s="30" t="n">
        <v>4000</v>
      </c>
    </row>
    <row r="523" customFormat="false" ht="12.65" hidden="false" customHeight="false" outlineLevel="1" collapsed="false">
      <c r="B523" s="29" t="s">
        <v>242</v>
      </c>
      <c r="C523" s="44" t="n">
        <v>143</v>
      </c>
      <c r="D523" s="44" t="n">
        <v>598</v>
      </c>
      <c r="E523" s="44" t="n">
        <v>717</v>
      </c>
      <c r="F523" s="44" t="n">
        <v>837</v>
      </c>
      <c r="G523" s="44" t="n">
        <v>1195</v>
      </c>
      <c r="H523" s="30" t="n">
        <v>1793</v>
      </c>
      <c r="I523" s="30" t="n">
        <v>2598</v>
      </c>
      <c r="J523" s="30" t="n">
        <v>5300</v>
      </c>
    </row>
    <row r="524" customFormat="false" ht="12.65" hidden="false" customHeight="false" outlineLevel="0" collapsed="false"/>
    <row r="525" customFormat="false" ht="15" hidden="false" customHeight="true" outlineLevel="0" collapsed="false">
      <c r="A525" s="33" t="s">
        <v>261</v>
      </c>
      <c r="C525" s="33"/>
      <c r="D525" s="33"/>
      <c r="E525" s="33"/>
      <c r="F525" s="33"/>
      <c r="G525" s="33"/>
      <c r="H525" s="33"/>
      <c r="I525" s="33"/>
      <c r="J525" s="33"/>
    </row>
    <row r="526" customFormat="false" ht="12.75" hidden="false" customHeight="false" outlineLevel="1" collapsed="false">
      <c r="B526" s="24" t="s">
        <v>262</v>
      </c>
      <c r="C526" s="56" t="s">
        <v>37</v>
      </c>
      <c r="D526" s="56" t="s">
        <v>38</v>
      </c>
      <c r="E526" s="56" t="s">
        <v>39</v>
      </c>
      <c r="F526" s="56" t="s">
        <v>40</v>
      </c>
      <c r="G526" s="56" t="s">
        <v>41</v>
      </c>
      <c r="H526" s="56" t="s">
        <v>42</v>
      </c>
      <c r="I526" s="56" t="s">
        <v>43</v>
      </c>
      <c r="J526" s="56" t="s">
        <v>44</v>
      </c>
    </row>
    <row r="527" customFormat="false" ht="12.75" hidden="false" customHeight="false" outlineLevel="1" collapsed="false">
      <c r="B527" s="29" t="s">
        <v>263</v>
      </c>
      <c r="C527" s="44" t="s">
        <v>264</v>
      </c>
      <c r="D527" s="44" t="s">
        <v>265</v>
      </c>
      <c r="E527" s="44" t="s">
        <v>266</v>
      </c>
      <c r="F527" s="44" t="s">
        <v>267</v>
      </c>
      <c r="G527" s="44" t="s">
        <v>268</v>
      </c>
      <c r="H527" s="44" t="s">
        <v>269</v>
      </c>
      <c r="I527" s="44" t="s">
        <v>270</v>
      </c>
      <c r="J527" s="44" t="s">
        <v>271</v>
      </c>
    </row>
    <row r="528" customFormat="false" ht="12.75" hidden="false" customHeight="false" outlineLevel="1" collapsed="false">
      <c r="B528" s="29" t="s">
        <v>272</v>
      </c>
      <c r="C528" s="44" t="s">
        <v>273</v>
      </c>
      <c r="D528" s="44" t="s">
        <v>273</v>
      </c>
      <c r="E528" s="44" t="s">
        <v>273</v>
      </c>
      <c r="F528" s="44" t="s">
        <v>273</v>
      </c>
      <c r="G528" s="44" t="s">
        <v>273</v>
      </c>
      <c r="H528" s="44" t="s">
        <v>273</v>
      </c>
      <c r="I528" s="44" t="s">
        <v>273</v>
      </c>
      <c r="J528" s="44" t="s">
        <v>273</v>
      </c>
    </row>
    <row r="529" customFormat="false" ht="12.75" hidden="false" customHeight="false" outlineLevel="1" collapsed="false">
      <c r="B529" s="29" t="s">
        <v>274</v>
      </c>
      <c r="C529" s="44" t="s">
        <v>275</v>
      </c>
      <c r="D529" s="44" t="s">
        <v>275</v>
      </c>
      <c r="E529" s="44" t="s">
        <v>275</v>
      </c>
      <c r="F529" s="44" t="s">
        <v>275</v>
      </c>
      <c r="G529" s="44" t="s">
        <v>275</v>
      </c>
      <c r="H529" s="44" t="s">
        <v>275</v>
      </c>
      <c r="I529" s="44" t="s">
        <v>275</v>
      </c>
      <c r="J529" s="44" t="s">
        <v>275</v>
      </c>
    </row>
    <row r="530" customFormat="false" ht="13.5" hidden="false" customHeight="true" outlineLevel="1" collapsed="false">
      <c r="B530" s="29" t="s">
        <v>276</v>
      </c>
      <c r="C530" s="44" t="s">
        <v>277</v>
      </c>
      <c r="D530" s="44" t="s">
        <v>277</v>
      </c>
      <c r="E530" s="44" t="s">
        <v>277</v>
      </c>
      <c r="F530" s="44" t="s">
        <v>277</v>
      </c>
      <c r="G530" s="44" t="s">
        <v>277</v>
      </c>
      <c r="H530" s="44" t="s">
        <v>277</v>
      </c>
      <c r="I530" s="44" t="s">
        <v>277</v>
      </c>
      <c r="J530" s="44" t="s">
        <v>277</v>
      </c>
    </row>
    <row r="531" customFormat="false" ht="12.65" hidden="false" customHeight="false" outlineLevel="1" collapsed="false">
      <c r="B531" s="57" t="s">
        <v>278</v>
      </c>
      <c r="C531" s="52" t="s">
        <v>279</v>
      </c>
      <c r="D531" s="52" t="s">
        <v>279</v>
      </c>
      <c r="E531" s="52" t="s">
        <v>279</v>
      </c>
      <c r="F531" s="52" t="s">
        <v>279</v>
      </c>
      <c r="G531" s="52" t="s">
        <v>279</v>
      </c>
      <c r="H531" s="52" t="s">
        <v>279</v>
      </c>
      <c r="I531" s="52" t="s">
        <v>279</v>
      </c>
      <c r="J531" s="52" t="s">
        <v>279</v>
      </c>
    </row>
    <row r="532" customFormat="false" ht="12.65" hidden="false" customHeight="false" outlineLevel="1" collapsed="false">
      <c r="B532" s="29" t="s">
        <v>280</v>
      </c>
      <c r="C532" s="51"/>
      <c r="D532" s="51"/>
      <c r="E532" s="51"/>
      <c r="F532" s="51"/>
      <c r="G532" s="51"/>
      <c r="H532" s="51"/>
      <c r="I532" s="51"/>
      <c r="J532" s="51"/>
    </row>
    <row r="533" customFormat="false" ht="22" hidden="false" customHeight="false" outlineLevel="1" collapsed="false">
      <c r="B533" s="29" t="s">
        <v>281</v>
      </c>
      <c r="C533" s="44" t="s">
        <v>282</v>
      </c>
      <c r="D533" s="44" t="s">
        <v>282</v>
      </c>
      <c r="E533" s="44" t="s">
        <v>282</v>
      </c>
      <c r="F533" s="44" t="s">
        <v>282</v>
      </c>
      <c r="G533" s="44" t="s">
        <v>282</v>
      </c>
      <c r="H533" s="44" t="s">
        <v>283</v>
      </c>
      <c r="I533" s="44" t="s">
        <v>284</v>
      </c>
      <c r="J533" s="44" t="s">
        <v>285</v>
      </c>
    </row>
    <row r="534" customFormat="false" ht="12.65" hidden="false" customHeight="false" outlineLevel="1" collapsed="false">
      <c r="B534" s="29" t="s">
        <v>286</v>
      </c>
      <c r="C534" s="44" t="s">
        <v>279</v>
      </c>
      <c r="D534" s="44" t="s">
        <v>279</v>
      </c>
      <c r="E534" s="44" t="s">
        <v>279</v>
      </c>
      <c r="F534" s="44" t="s">
        <v>279</v>
      </c>
      <c r="G534" s="44" t="s">
        <v>279</v>
      </c>
      <c r="H534" s="44" t="s">
        <v>279</v>
      </c>
      <c r="I534" s="44" t="s">
        <v>279</v>
      </c>
      <c r="J534" s="44" t="s">
        <v>279</v>
      </c>
    </row>
    <row r="535" customFormat="false" ht="12.65" hidden="false" customHeight="false" outlineLevel="1" collapsed="false">
      <c r="B535" s="29" t="s">
        <v>287</v>
      </c>
      <c r="C535" s="44" t="s">
        <v>273</v>
      </c>
      <c r="D535" s="44" t="s">
        <v>273</v>
      </c>
      <c r="E535" s="44" t="s">
        <v>273</v>
      </c>
      <c r="F535" s="44" t="s">
        <v>273</v>
      </c>
      <c r="G535" s="44" t="s">
        <v>273</v>
      </c>
      <c r="H535" s="44" t="s">
        <v>273</v>
      </c>
      <c r="I535" s="44" t="s">
        <v>273</v>
      </c>
      <c r="J535" s="44" t="s">
        <v>273</v>
      </c>
    </row>
    <row r="536" customFormat="false" ht="12.65" hidden="false" customHeight="false" outlineLevel="1" collapsed="false">
      <c r="B536" s="29" t="s">
        <v>288</v>
      </c>
      <c r="C536" s="44" t="s">
        <v>275</v>
      </c>
      <c r="D536" s="44" t="s">
        <v>275</v>
      </c>
      <c r="E536" s="44" t="s">
        <v>275</v>
      </c>
      <c r="F536" s="44" t="s">
        <v>275</v>
      </c>
      <c r="G536" s="44" t="s">
        <v>275</v>
      </c>
      <c r="H536" s="44" t="s">
        <v>275</v>
      </c>
      <c r="I536" s="44" t="s">
        <v>275</v>
      </c>
      <c r="J536" s="44" t="s">
        <v>275</v>
      </c>
    </row>
    <row r="537" customFormat="false" ht="12.65" hidden="false" customHeight="false" outlineLevel="1" collapsed="false">
      <c r="B537" s="57" t="s">
        <v>289</v>
      </c>
      <c r="C537" s="65" t="s">
        <v>290</v>
      </c>
      <c r="D537" s="65" t="s">
        <v>290</v>
      </c>
      <c r="E537" s="65" t="s">
        <v>290</v>
      </c>
      <c r="F537" s="65" t="s">
        <v>290</v>
      </c>
      <c r="G537" s="65" t="s">
        <v>291</v>
      </c>
      <c r="H537" s="65" t="s">
        <v>291</v>
      </c>
      <c r="I537" s="65" t="s">
        <v>292</v>
      </c>
      <c r="J537" s="65" t="s">
        <v>293</v>
      </c>
    </row>
    <row r="538" customFormat="false" ht="12.65" hidden="false" customHeight="false" outlineLevel="1" collapsed="false">
      <c r="B538" s="57" t="s">
        <v>294</v>
      </c>
      <c r="C538" s="65" t="s">
        <v>292</v>
      </c>
      <c r="D538" s="65" t="s">
        <v>292</v>
      </c>
      <c r="E538" s="65" t="s">
        <v>295</v>
      </c>
      <c r="F538" s="65" t="s">
        <v>295</v>
      </c>
      <c r="G538" s="65" t="s">
        <v>295</v>
      </c>
      <c r="H538" s="65" t="s">
        <v>296</v>
      </c>
      <c r="I538" s="65" t="s">
        <v>297</v>
      </c>
      <c r="J538" s="65" t="s">
        <v>298</v>
      </c>
    </row>
    <row r="539" customFormat="false" ht="12.65" hidden="false" customHeight="false" outlineLevel="1" collapsed="false">
      <c r="B539" s="29" t="s">
        <v>299</v>
      </c>
      <c r="C539" s="44" t="n">
        <v>90</v>
      </c>
      <c r="D539" s="44" t="n">
        <v>100</v>
      </c>
      <c r="E539" s="44" t="n">
        <v>100</v>
      </c>
      <c r="F539" s="44" t="n">
        <v>110</v>
      </c>
      <c r="G539" s="44" t="n">
        <v>110</v>
      </c>
      <c r="H539" s="44" t="n">
        <v>120</v>
      </c>
      <c r="I539" s="44" t="n">
        <v>140</v>
      </c>
      <c r="J539" s="44" t="n">
        <v>175</v>
      </c>
    </row>
    <row r="540" customFormat="false" ht="12.65" hidden="false" customHeight="false" outlineLevel="0" collapsed="false"/>
    <row r="541" customFormat="false" ht="15" hidden="false" customHeight="true" outlineLevel="0" collapsed="false">
      <c r="A541" s="33" t="s">
        <v>300</v>
      </c>
      <c r="B541" s="101"/>
      <c r="C541" s="101"/>
      <c r="D541" s="101"/>
      <c r="E541" s="101"/>
      <c r="F541" s="101"/>
      <c r="G541" s="101"/>
      <c r="H541" s="101"/>
      <c r="I541" s="101"/>
      <c r="J541" s="101"/>
    </row>
    <row r="542" customFormat="false" ht="12.65" hidden="false" customHeight="false" outlineLevel="1" collapsed="false">
      <c r="B542" s="24" t="s">
        <v>301</v>
      </c>
      <c r="C542" s="56" t="s">
        <v>37</v>
      </c>
      <c r="D542" s="56" t="s">
        <v>38</v>
      </c>
      <c r="E542" s="56" t="s">
        <v>39</v>
      </c>
      <c r="F542" s="56" t="s">
        <v>40</v>
      </c>
      <c r="G542" s="56" t="s">
        <v>41</v>
      </c>
      <c r="H542" s="56" t="s">
        <v>42</v>
      </c>
      <c r="I542" s="56" t="s">
        <v>43</v>
      </c>
      <c r="J542" s="56" t="s">
        <v>44</v>
      </c>
      <c r="K542" s="102"/>
    </row>
    <row r="543" customFormat="false" ht="12.65" hidden="false" customHeight="false" outlineLevel="1" collapsed="false">
      <c r="B543" s="29" t="s">
        <v>263</v>
      </c>
      <c r="C543" s="44" t="s">
        <v>264</v>
      </c>
      <c r="D543" s="44" t="s">
        <v>302</v>
      </c>
      <c r="E543" s="44" t="s">
        <v>303</v>
      </c>
      <c r="F543" s="44" t="s">
        <v>304</v>
      </c>
      <c r="G543" s="44" t="s">
        <v>305</v>
      </c>
      <c r="H543" s="44" t="s">
        <v>306</v>
      </c>
      <c r="I543" s="44" t="s">
        <v>307</v>
      </c>
      <c r="J543" s="44" t="s">
        <v>308</v>
      </c>
      <c r="K543" s="102"/>
    </row>
    <row r="544" customFormat="false" ht="12.65" hidden="false" customHeight="false" outlineLevel="1" collapsed="false">
      <c r="B544" s="29" t="s">
        <v>272</v>
      </c>
      <c r="C544" s="44" t="s">
        <v>273</v>
      </c>
      <c r="D544" s="44" t="s">
        <v>273</v>
      </c>
      <c r="E544" s="44" t="s">
        <v>273</v>
      </c>
      <c r="F544" s="44" t="s">
        <v>273</v>
      </c>
      <c r="G544" s="44" t="s">
        <v>273</v>
      </c>
      <c r="H544" s="44" t="s">
        <v>273</v>
      </c>
      <c r="I544" s="44" t="s">
        <v>273</v>
      </c>
      <c r="J544" s="44" t="s">
        <v>273</v>
      </c>
      <c r="K544" s="102"/>
    </row>
    <row r="545" customFormat="false" ht="12.65" hidden="false" customHeight="false" outlineLevel="1" collapsed="false">
      <c r="B545" s="29" t="s">
        <v>274</v>
      </c>
      <c r="C545" s="103" t="s">
        <v>309</v>
      </c>
      <c r="D545" s="103" t="s">
        <v>309</v>
      </c>
      <c r="E545" s="103" t="s">
        <v>309</v>
      </c>
      <c r="F545" s="103" t="s">
        <v>309</v>
      </c>
      <c r="G545" s="103" t="s">
        <v>309</v>
      </c>
      <c r="H545" s="103" t="s">
        <v>309</v>
      </c>
      <c r="I545" s="103" t="s">
        <v>309</v>
      </c>
      <c r="J545" s="103" t="s">
        <v>309</v>
      </c>
      <c r="K545" s="102"/>
    </row>
    <row r="546" customFormat="false" ht="12.65" hidden="false" customHeight="false" outlineLevel="1" collapsed="false">
      <c r="B546" s="29" t="s">
        <v>276</v>
      </c>
      <c r="C546" s="103" t="s">
        <v>310</v>
      </c>
      <c r="D546" s="103" t="s">
        <v>310</v>
      </c>
      <c r="E546" s="103" t="s">
        <v>310</v>
      </c>
      <c r="F546" s="103" t="s">
        <v>310</v>
      </c>
      <c r="G546" s="103" t="s">
        <v>310</v>
      </c>
      <c r="H546" s="103" t="s">
        <v>310</v>
      </c>
      <c r="I546" s="103" t="s">
        <v>310</v>
      </c>
      <c r="J546" s="103" t="s">
        <v>310</v>
      </c>
      <c r="K546" s="102"/>
    </row>
    <row r="547" customFormat="false" ht="12.65" hidden="false" customHeight="false" outlineLevel="1" collapsed="false">
      <c r="B547" s="57" t="s">
        <v>311</v>
      </c>
      <c r="C547" s="104" t="s">
        <v>312</v>
      </c>
      <c r="D547" s="104" t="s">
        <v>312</v>
      </c>
      <c r="E547" s="104" t="s">
        <v>312</v>
      </c>
      <c r="F547" s="104" t="s">
        <v>312</v>
      </c>
      <c r="G547" s="104" t="s">
        <v>312</v>
      </c>
      <c r="H547" s="104" t="s">
        <v>312</v>
      </c>
      <c r="I547" s="104" t="s">
        <v>312</v>
      </c>
      <c r="J547" s="104" t="s">
        <v>312</v>
      </c>
      <c r="K547" s="105"/>
    </row>
    <row r="548" customFormat="false" ht="12.65" hidden="false" customHeight="false" outlineLevel="1" collapsed="false">
      <c r="B548" s="29" t="s">
        <v>280</v>
      </c>
      <c r="C548" s="106"/>
      <c r="D548" s="106"/>
      <c r="E548" s="106"/>
      <c r="F548" s="106"/>
      <c r="G548" s="106"/>
      <c r="H548" s="106"/>
      <c r="I548" s="106"/>
      <c r="J548" s="106"/>
      <c r="K548" s="105"/>
    </row>
    <row r="549" customFormat="false" ht="22" hidden="false" customHeight="false" outlineLevel="1" collapsed="false">
      <c r="B549" s="29" t="s">
        <v>281</v>
      </c>
      <c r="C549" s="103" t="s">
        <v>313</v>
      </c>
      <c r="D549" s="103" t="s">
        <v>313</v>
      </c>
      <c r="E549" s="103" t="s">
        <v>313</v>
      </c>
      <c r="F549" s="103" t="s">
        <v>313</v>
      </c>
      <c r="G549" s="103" t="s">
        <v>313</v>
      </c>
      <c r="H549" s="103" t="s">
        <v>314</v>
      </c>
      <c r="I549" s="44" t="s">
        <v>315</v>
      </c>
      <c r="J549" s="44" t="s">
        <v>316</v>
      </c>
      <c r="K549" s="102"/>
    </row>
    <row r="550" customFormat="false" ht="12.65" hidden="false" customHeight="false" outlineLevel="1" collapsed="false">
      <c r="B550" s="29" t="s">
        <v>317</v>
      </c>
      <c r="C550" s="103" t="s">
        <v>312</v>
      </c>
      <c r="D550" s="103" t="s">
        <v>312</v>
      </c>
      <c r="E550" s="103" t="s">
        <v>312</v>
      </c>
      <c r="F550" s="103" t="s">
        <v>312</v>
      </c>
      <c r="G550" s="103" t="s">
        <v>312</v>
      </c>
      <c r="H550" s="103" t="s">
        <v>312</v>
      </c>
      <c r="I550" s="103" t="s">
        <v>312</v>
      </c>
      <c r="J550" s="103" t="s">
        <v>312</v>
      </c>
      <c r="K550" s="102"/>
    </row>
    <row r="551" customFormat="false" ht="12.65" hidden="false" customHeight="false" outlineLevel="1" collapsed="false">
      <c r="B551" s="29" t="s">
        <v>287</v>
      </c>
      <c r="C551" s="44" t="s">
        <v>273</v>
      </c>
      <c r="D551" s="44" t="s">
        <v>273</v>
      </c>
      <c r="E551" s="44" t="s">
        <v>273</v>
      </c>
      <c r="F551" s="44" t="s">
        <v>273</v>
      </c>
      <c r="G551" s="44" t="s">
        <v>273</v>
      </c>
      <c r="H551" s="44" t="s">
        <v>273</v>
      </c>
      <c r="I551" s="44" t="s">
        <v>273</v>
      </c>
      <c r="J551" s="44" t="s">
        <v>273</v>
      </c>
      <c r="K551" s="102"/>
    </row>
    <row r="552" customFormat="false" ht="12.65" hidden="false" customHeight="false" outlineLevel="1" collapsed="false">
      <c r="B552" s="29" t="s">
        <v>288</v>
      </c>
      <c r="C552" s="103" t="s">
        <v>309</v>
      </c>
      <c r="D552" s="103" t="s">
        <v>309</v>
      </c>
      <c r="E552" s="103" t="s">
        <v>309</v>
      </c>
      <c r="F552" s="103" t="s">
        <v>309</v>
      </c>
      <c r="G552" s="103" t="s">
        <v>309</v>
      </c>
      <c r="H552" s="103" t="s">
        <v>309</v>
      </c>
      <c r="I552" s="103" t="s">
        <v>309</v>
      </c>
      <c r="J552" s="103" t="s">
        <v>309</v>
      </c>
      <c r="K552" s="102"/>
    </row>
    <row r="553" customFormat="false" ht="12.65" hidden="false" customHeight="false" outlineLevel="1" collapsed="false">
      <c r="B553" s="57" t="s">
        <v>289</v>
      </c>
      <c r="C553" s="65" t="s">
        <v>296</v>
      </c>
      <c r="D553" s="65" t="s">
        <v>318</v>
      </c>
      <c r="E553" s="65" t="s">
        <v>319</v>
      </c>
      <c r="F553" s="65" t="s">
        <v>320</v>
      </c>
      <c r="G553" s="65" t="s">
        <v>297</v>
      </c>
      <c r="H553" s="65" t="s">
        <v>321</v>
      </c>
      <c r="I553" s="65" t="s">
        <v>322</v>
      </c>
      <c r="J553" s="65" t="s">
        <v>323</v>
      </c>
      <c r="K553" s="105"/>
    </row>
    <row r="554" customFormat="false" ht="12.65" hidden="false" customHeight="false" outlineLevel="1" collapsed="false">
      <c r="B554" s="57" t="s">
        <v>324</v>
      </c>
      <c r="C554" s="65" t="s">
        <v>325</v>
      </c>
      <c r="D554" s="65" t="s">
        <v>326</v>
      </c>
      <c r="E554" s="65" t="s">
        <v>327</v>
      </c>
      <c r="F554" s="65" t="s">
        <v>328</v>
      </c>
      <c r="G554" s="65" t="s">
        <v>329</v>
      </c>
      <c r="H554" s="65" t="s">
        <v>330</v>
      </c>
      <c r="I554" s="65" t="s">
        <v>331</v>
      </c>
      <c r="J554" s="65" t="s">
        <v>332</v>
      </c>
      <c r="K554" s="105"/>
    </row>
    <row r="555" customFormat="false" ht="12.65" hidden="false" customHeight="false" outlineLevel="1" collapsed="false">
      <c r="B555" s="29" t="s">
        <v>299</v>
      </c>
      <c r="C555" s="44" t="n">
        <v>180</v>
      </c>
      <c r="D555" s="44" t="n">
        <v>190</v>
      </c>
      <c r="E555" s="44" t="n">
        <v>200</v>
      </c>
      <c r="F555" s="44" t="n">
        <v>210</v>
      </c>
      <c r="G555" s="44" t="n">
        <v>220</v>
      </c>
      <c r="H555" s="44" t="n">
        <v>240</v>
      </c>
      <c r="I555" s="44" t="n">
        <v>280</v>
      </c>
      <c r="J555" s="44" t="n">
        <v>350</v>
      </c>
      <c r="K555" s="105"/>
    </row>
    <row r="556" customFormat="false" ht="12.65" hidden="false" customHeight="false" outlineLevel="0" collapsed="false"/>
    <row r="557" customFormat="false" ht="15" hidden="false" customHeight="true" outlineLevel="0" collapsed="false">
      <c r="A557" s="33" t="s">
        <v>333</v>
      </c>
      <c r="C557" s="33"/>
      <c r="D557" s="33"/>
      <c r="E557" s="33"/>
      <c r="F557" s="33"/>
      <c r="G557" s="33"/>
      <c r="H557" s="33"/>
      <c r="I557" s="33"/>
      <c r="J557" s="33"/>
    </row>
    <row r="558" customFormat="false" ht="12.65" hidden="false" customHeight="false" outlineLevel="1" collapsed="false">
      <c r="B558" s="24" t="s">
        <v>301</v>
      </c>
      <c r="C558" s="56" t="s">
        <v>37</v>
      </c>
      <c r="D558" s="56" t="s">
        <v>38</v>
      </c>
      <c r="E558" s="56" t="s">
        <v>39</v>
      </c>
      <c r="F558" s="56" t="s">
        <v>40</v>
      </c>
      <c r="G558" s="56" t="s">
        <v>41</v>
      </c>
      <c r="H558" s="56" t="s">
        <v>42</v>
      </c>
      <c r="I558" s="56" t="s">
        <v>43</v>
      </c>
      <c r="J558" s="56" t="s">
        <v>44</v>
      </c>
    </row>
    <row r="559" customFormat="false" ht="12.65" hidden="false" customHeight="false" outlineLevel="1" collapsed="false">
      <c r="B559" s="29" t="s">
        <v>263</v>
      </c>
      <c r="C559" s="44" t="s">
        <v>334</v>
      </c>
      <c r="D559" s="44" t="s">
        <v>335</v>
      </c>
      <c r="E559" s="44" t="s">
        <v>336</v>
      </c>
      <c r="F559" s="44" t="s">
        <v>337</v>
      </c>
      <c r="G559" s="44" t="s">
        <v>338</v>
      </c>
      <c r="H559" s="44" t="s">
        <v>339</v>
      </c>
      <c r="I559" s="44" t="s">
        <v>340</v>
      </c>
      <c r="J559" s="44" t="s">
        <v>341</v>
      </c>
    </row>
    <row r="560" customFormat="false" ht="12.65" hidden="false" customHeight="false" outlineLevel="1" collapsed="false">
      <c r="B560" s="29" t="s">
        <v>272</v>
      </c>
      <c r="C560" s="103" t="s">
        <v>279</v>
      </c>
      <c r="D560" s="103" t="s">
        <v>279</v>
      </c>
      <c r="E560" s="103" t="s">
        <v>279</v>
      </c>
      <c r="F560" s="103" t="s">
        <v>279</v>
      </c>
      <c r="G560" s="103" t="s">
        <v>279</v>
      </c>
      <c r="H560" s="103" t="s">
        <v>279</v>
      </c>
      <c r="I560" s="103" t="s">
        <v>279</v>
      </c>
      <c r="J560" s="103" t="s">
        <v>279</v>
      </c>
    </row>
    <row r="561" customFormat="false" ht="12.65" hidden="false" customHeight="false" outlineLevel="1" collapsed="false">
      <c r="B561" s="29" t="s">
        <v>274</v>
      </c>
      <c r="C561" s="103" t="s">
        <v>310</v>
      </c>
      <c r="D561" s="103" t="s">
        <v>310</v>
      </c>
      <c r="E561" s="103" t="s">
        <v>310</v>
      </c>
      <c r="F561" s="103" t="s">
        <v>310</v>
      </c>
      <c r="G561" s="103" t="s">
        <v>310</v>
      </c>
      <c r="H561" s="103" t="s">
        <v>310</v>
      </c>
      <c r="I561" s="103" t="s">
        <v>310</v>
      </c>
      <c r="J561" s="103" t="s">
        <v>310</v>
      </c>
    </row>
    <row r="562" customFormat="false" ht="12.65" hidden="false" customHeight="false" outlineLevel="1" collapsed="false">
      <c r="B562" s="29" t="s">
        <v>276</v>
      </c>
      <c r="C562" s="103" t="s">
        <v>342</v>
      </c>
      <c r="D562" s="103" t="s">
        <v>342</v>
      </c>
      <c r="E562" s="103" t="s">
        <v>342</v>
      </c>
      <c r="F562" s="103" t="s">
        <v>342</v>
      </c>
      <c r="G562" s="103" t="s">
        <v>342</v>
      </c>
      <c r="H562" s="103" t="s">
        <v>342</v>
      </c>
      <c r="I562" s="103" t="s">
        <v>342</v>
      </c>
      <c r="J562" s="103" t="s">
        <v>342</v>
      </c>
    </row>
    <row r="563" customFormat="false" ht="12.65" hidden="false" customHeight="false" outlineLevel="1" collapsed="false">
      <c r="B563" s="57" t="s">
        <v>311</v>
      </c>
      <c r="C563" s="104" t="s">
        <v>343</v>
      </c>
      <c r="D563" s="104" t="s">
        <v>343</v>
      </c>
      <c r="E563" s="104" t="s">
        <v>343</v>
      </c>
      <c r="F563" s="104" t="s">
        <v>343</v>
      </c>
      <c r="G563" s="104" t="s">
        <v>343</v>
      </c>
      <c r="H563" s="104" t="s">
        <v>343</v>
      </c>
      <c r="I563" s="104" t="s">
        <v>343</v>
      </c>
      <c r="J563" s="104" t="s">
        <v>343</v>
      </c>
    </row>
    <row r="564" customFormat="false" ht="12.65" hidden="false" customHeight="false" outlineLevel="1" collapsed="false">
      <c r="B564" s="29" t="s">
        <v>280</v>
      </c>
      <c r="C564" s="106"/>
      <c r="D564" s="106"/>
      <c r="E564" s="106"/>
      <c r="F564" s="106"/>
      <c r="G564" s="106"/>
      <c r="H564" s="106"/>
      <c r="I564" s="106"/>
      <c r="J564" s="106"/>
    </row>
    <row r="565" customFormat="false" ht="22" hidden="false" customHeight="false" outlineLevel="1" collapsed="false">
      <c r="B565" s="29" t="s">
        <v>281</v>
      </c>
      <c r="C565" s="103" t="s">
        <v>344</v>
      </c>
      <c r="D565" s="103" t="s">
        <v>344</v>
      </c>
      <c r="E565" s="103" t="s">
        <v>344</v>
      </c>
      <c r="F565" s="103" t="s">
        <v>344</v>
      </c>
      <c r="G565" s="103" t="s">
        <v>344</v>
      </c>
      <c r="H565" s="44" t="s">
        <v>345</v>
      </c>
      <c r="I565" s="44" t="s">
        <v>346</v>
      </c>
      <c r="J565" s="44" t="s">
        <v>347</v>
      </c>
    </row>
    <row r="566" customFormat="false" ht="12.65" hidden="false" customHeight="false" outlineLevel="1" collapsed="false">
      <c r="B566" s="29" t="s">
        <v>317</v>
      </c>
      <c r="C566" s="103" t="s">
        <v>348</v>
      </c>
      <c r="D566" s="103" t="s">
        <v>348</v>
      </c>
      <c r="E566" s="103" t="s">
        <v>348</v>
      </c>
      <c r="F566" s="103" t="s">
        <v>348</v>
      </c>
      <c r="G566" s="103" t="s">
        <v>348</v>
      </c>
      <c r="H566" s="103" t="s">
        <v>348</v>
      </c>
      <c r="I566" s="103" t="s">
        <v>348</v>
      </c>
      <c r="J566" s="103" t="s">
        <v>348</v>
      </c>
    </row>
    <row r="567" customFormat="false" ht="12.65" hidden="false" customHeight="false" outlineLevel="1" collapsed="false">
      <c r="B567" s="29" t="s">
        <v>287</v>
      </c>
      <c r="C567" s="103" t="s">
        <v>279</v>
      </c>
      <c r="D567" s="103" t="s">
        <v>279</v>
      </c>
      <c r="E567" s="103" t="s">
        <v>279</v>
      </c>
      <c r="F567" s="103" t="s">
        <v>279</v>
      </c>
      <c r="G567" s="103" t="s">
        <v>279</v>
      </c>
      <c r="H567" s="103" t="s">
        <v>279</v>
      </c>
      <c r="I567" s="103" t="s">
        <v>279</v>
      </c>
      <c r="J567" s="103" t="s">
        <v>279</v>
      </c>
    </row>
    <row r="568" customFormat="false" ht="12.65" hidden="false" customHeight="false" outlineLevel="1" collapsed="false">
      <c r="B568" s="29" t="s">
        <v>288</v>
      </c>
      <c r="C568" s="103" t="s">
        <v>349</v>
      </c>
      <c r="D568" s="103" t="s">
        <v>349</v>
      </c>
      <c r="E568" s="103" t="s">
        <v>349</v>
      </c>
      <c r="F568" s="103" t="s">
        <v>349</v>
      </c>
      <c r="G568" s="103" t="s">
        <v>349</v>
      </c>
      <c r="H568" s="103" t="s">
        <v>349</v>
      </c>
      <c r="I568" s="103" t="s">
        <v>349</v>
      </c>
      <c r="J568" s="103" t="s">
        <v>349</v>
      </c>
    </row>
    <row r="569" customFormat="false" ht="12.65" hidden="false" customHeight="false" outlineLevel="1" collapsed="false">
      <c r="B569" s="57" t="s">
        <v>289</v>
      </c>
      <c r="C569" s="65" t="s">
        <v>330</v>
      </c>
      <c r="D569" s="65" t="s">
        <v>350</v>
      </c>
      <c r="E569" s="65" t="s">
        <v>351</v>
      </c>
      <c r="F569" s="65" t="s">
        <v>331</v>
      </c>
      <c r="G569" s="65" t="s">
        <v>352</v>
      </c>
      <c r="H569" s="65" t="s">
        <v>353</v>
      </c>
      <c r="I569" s="65" t="s">
        <v>354</v>
      </c>
      <c r="J569" s="65" t="s">
        <v>355</v>
      </c>
    </row>
    <row r="570" customFormat="false" ht="12.65" hidden="false" customHeight="false" outlineLevel="1" collapsed="false">
      <c r="B570" s="57" t="s">
        <v>324</v>
      </c>
      <c r="C570" s="65" t="s">
        <v>356</v>
      </c>
      <c r="D570" s="65" t="s">
        <v>357</v>
      </c>
      <c r="E570" s="65" t="s">
        <v>358</v>
      </c>
      <c r="F570" s="65" t="s">
        <v>359</v>
      </c>
      <c r="G570" s="65" t="s">
        <v>360</v>
      </c>
      <c r="H570" s="65" t="s">
        <v>361</v>
      </c>
      <c r="I570" s="65" t="s">
        <v>362</v>
      </c>
      <c r="J570" s="65" t="s">
        <v>363</v>
      </c>
    </row>
    <row r="571" customFormat="false" ht="12.65" hidden="false" customHeight="false" outlineLevel="1" collapsed="false">
      <c r="B571" s="29" t="s">
        <v>299</v>
      </c>
      <c r="C571" s="44" t="n">
        <v>360</v>
      </c>
      <c r="D571" s="44" t="n">
        <v>380</v>
      </c>
      <c r="E571" s="44" t="n">
        <v>400</v>
      </c>
      <c r="F571" s="44" t="n">
        <v>420</v>
      </c>
      <c r="G571" s="44" t="n">
        <v>440</v>
      </c>
      <c r="H571" s="44" t="n">
        <v>480</v>
      </c>
      <c r="I571" s="44" t="n">
        <v>560</v>
      </c>
      <c r="J571" s="44" t="n">
        <v>700</v>
      </c>
    </row>
    <row r="572" customFormat="false" ht="12.65" hidden="false" customHeight="false" outlineLevel="0" collapsed="false"/>
    <row r="573" customFormat="false" ht="15" hidden="false" customHeight="true" outlineLevel="0" collapsed="false">
      <c r="A573" s="33" t="s">
        <v>364</v>
      </c>
      <c r="B573" s="33"/>
      <c r="C573" s="33"/>
      <c r="D573" s="33"/>
      <c r="E573" s="33"/>
      <c r="F573" s="33"/>
      <c r="G573" s="33"/>
      <c r="H573" s="33"/>
      <c r="I573" s="33"/>
    </row>
    <row r="574" customFormat="false" ht="12.65" hidden="false" customHeight="false" outlineLevel="1" collapsed="false">
      <c r="B574" s="24" t="s">
        <v>301</v>
      </c>
      <c r="C574" s="56" t="s">
        <v>37</v>
      </c>
      <c r="D574" s="56" t="s">
        <v>38</v>
      </c>
      <c r="E574" s="56" t="s">
        <v>39</v>
      </c>
      <c r="F574" s="56" t="s">
        <v>40</v>
      </c>
      <c r="G574" s="56" t="s">
        <v>41</v>
      </c>
      <c r="H574" s="56" t="s">
        <v>42</v>
      </c>
      <c r="I574" s="56" t="s">
        <v>43</v>
      </c>
      <c r="J574" s="56" t="s">
        <v>44</v>
      </c>
    </row>
    <row r="575" customFormat="false" ht="12.65" hidden="false" customHeight="false" outlineLevel="1" collapsed="false">
      <c r="B575" s="29" t="s">
        <v>263</v>
      </c>
      <c r="C575" s="44" t="s">
        <v>336</v>
      </c>
      <c r="D575" s="44" t="s">
        <v>365</v>
      </c>
      <c r="E575" s="44" t="s">
        <v>366</v>
      </c>
      <c r="F575" s="44" t="s">
        <v>367</v>
      </c>
      <c r="G575" s="44" t="s">
        <v>339</v>
      </c>
      <c r="H575" s="44" t="s">
        <v>368</v>
      </c>
      <c r="I575" s="44" t="s">
        <v>369</v>
      </c>
      <c r="J575" s="44" t="s">
        <v>370</v>
      </c>
    </row>
    <row r="576" customFormat="false" ht="12.65" hidden="false" customHeight="false" outlineLevel="1" collapsed="false">
      <c r="B576" s="29" t="s">
        <v>272</v>
      </c>
      <c r="C576" s="103" t="s">
        <v>279</v>
      </c>
      <c r="D576" s="103" t="s">
        <v>279</v>
      </c>
      <c r="E576" s="103" t="s">
        <v>279</v>
      </c>
      <c r="F576" s="103" t="s">
        <v>279</v>
      </c>
      <c r="G576" s="103" t="s">
        <v>279</v>
      </c>
      <c r="H576" s="103" t="s">
        <v>279</v>
      </c>
      <c r="I576" s="103" t="s">
        <v>279</v>
      </c>
      <c r="J576" s="103" t="s">
        <v>279</v>
      </c>
    </row>
    <row r="577" customFormat="false" ht="12.65" hidden="false" customHeight="false" outlineLevel="1" collapsed="false">
      <c r="B577" s="29" t="s">
        <v>371</v>
      </c>
      <c r="C577" s="103" t="s">
        <v>372</v>
      </c>
      <c r="D577" s="103" t="s">
        <v>372</v>
      </c>
      <c r="E577" s="103" t="s">
        <v>372</v>
      </c>
      <c r="F577" s="103" t="s">
        <v>372</v>
      </c>
      <c r="G577" s="103" t="s">
        <v>372</v>
      </c>
      <c r="H577" s="103" t="s">
        <v>372</v>
      </c>
      <c r="I577" s="103" t="s">
        <v>372</v>
      </c>
      <c r="J577" s="103" t="s">
        <v>372</v>
      </c>
    </row>
    <row r="578" customFormat="false" ht="12.65" hidden="false" customHeight="false" outlineLevel="1" collapsed="false">
      <c r="B578" s="29" t="s">
        <v>276</v>
      </c>
      <c r="C578" s="103" t="s">
        <v>373</v>
      </c>
      <c r="D578" s="103" t="s">
        <v>373</v>
      </c>
      <c r="E578" s="103" t="s">
        <v>373</v>
      </c>
      <c r="F578" s="103" t="s">
        <v>373</v>
      </c>
      <c r="G578" s="103" t="s">
        <v>373</v>
      </c>
      <c r="H578" s="103" t="s">
        <v>373</v>
      </c>
      <c r="I578" s="103" t="s">
        <v>373</v>
      </c>
      <c r="J578" s="103" t="s">
        <v>373</v>
      </c>
    </row>
    <row r="579" customFormat="false" ht="12.65" hidden="false" customHeight="false" outlineLevel="1" collapsed="false">
      <c r="B579" s="57" t="s">
        <v>311</v>
      </c>
      <c r="C579" s="104" t="s">
        <v>374</v>
      </c>
      <c r="D579" s="104" t="s">
        <v>374</v>
      </c>
      <c r="E579" s="104" t="s">
        <v>374</v>
      </c>
      <c r="F579" s="104" t="s">
        <v>374</v>
      </c>
      <c r="G579" s="104" t="s">
        <v>374</v>
      </c>
      <c r="H579" s="104" t="s">
        <v>374</v>
      </c>
      <c r="I579" s="104" t="s">
        <v>374</v>
      </c>
      <c r="J579" s="104" t="s">
        <v>374</v>
      </c>
    </row>
    <row r="580" customFormat="false" ht="12.65" hidden="false" customHeight="false" outlineLevel="1" collapsed="false">
      <c r="B580" s="29" t="s">
        <v>280</v>
      </c>
      <c r="C580" s="106"/>
      <c r="D580" s="106"/>
      <c r="E580" s="106"/>
      <c r="F580" s="106"/>
      <c r="G580" s="106"/>
      <c r="H580" s="106"/>
      <c r="I580" s="106"/>
      <c r="J580" s="106"/>
    </row>
    <row r="581" customFormat="false" ht="22" hidden="false" customHeight="false" outlineLevel="1" collapsed="false">
      <c r="B581" s="29" t="s">
        <v>281</v>
      </c>
      <c r="C581" s="44" t="s">
        <v>345</v>
      </c>
      <c r="D581" s="44" t="s">
        <v>345</v>
      </c>
      <c r="E581" s="44" t="s">
        <v>345</v>
      </c>
      <c r="F581" s="44" t="s">
        <v>345</v>
      </c>
      <c r="G581" s="44" t="s">
        <v>345</v>
      </c>
      <c r="H581" s="44" t="s">
        <v>375</v>
      </c>
      <c r="I581" s="44" t="s">
        <v>376</v>
      </c>
      <c r="J581" s="44" t="s">
        <v>377</v>
      </c>
    </row>
    <row r="582" customFormat="false" ht="12.65" hidden="false" customHeight="false" outlineLevel="1" collapsed="false">
      <c r="B582" s="29" t="s">
        <v>317</v>
      </c>
      <c r="C582" s="103" t="s">
        <v>378</v>
      </c>
      <c r="D582" s="103" t="s">
        <v>378</v>
      </c>
      <c r="E582" s="103" t="s">
        <v>378</v>
      </c>
      <c r="F582" s="103" t="s">
        <v>378</v>
      </c>
      <c r="G582" s="103" t="s">
        <v>378</v>
      </c>
      <c r="H582" s="103" t="s">
        <v>378</v>
      </c>
      <c r="I582" s="103" t="s">
        <v>378</v>
      </c>
      <c r="J582" s="103" t="s">
        <v>378</v>
      </c>
    </row>
    <row r="583" customFormat="false" ht="12.65" hidden="false" customHeight="false" outlineLevel="1" collapsed="false">
      <c r="B583" s="29" t="s">
        <v>287</v>
      </c>
      <c r="C583" s="103" t="s">
        <v>279</v>
      </c>
      <c r="D583" s="103" t="s">
        <v>279</v>
      </c>
      <c r="E583" s="103" t="s">
        <v>279</v>
      </c>
      <c r="F583" s="103" t="s">
        <v>279</v>
      </c>
      <c r="G583" s="103" t="s">
        <v>279</v>
      </c>
      <c r="H583" s="103" t="s">
        <v>279</v>
      </c>
      <c r="I583" s="103" t="s">
        <v>279</v>
      </c>
      <c r="J583" s="103" t="s">
        <v>279</v>
      </c>
    </row>
    <row r="584" customFormat="false" ht="12.65" hidden="false" customHeight="false" outlineLevel="1" collapsed="false">
      <c r="B584" s="29" t="s">
        <v>288</v>
      </c>
      <c r="C584" s="103" t="s">
        <v>379</v>
      </c>
      <c r="D584" s="103" t="s">
        <v>379</v>
      </c>
      <c r="E584" s="103" t="s">
        <v>379</v>
      </c>
      <c r="F584" s="103" t="s">
        <v>379</v>
      </c>
      <c r="G584" s="103" t="s">
        <v>379</v>
      </c>
      <c r="H584" s="103" t="s">
        <v>379</v>
      </c>
      <c r="I584" s="103" t="s">
        <v>379</v>
      </c>
      <c r="J584" s="103" t="s">
        <v>379</v>
      </c>
    </row>
    <row r="585" customFormat="false" ht="12.65" hidden="false" customHeight="false" outlineLevel="1" collapsed="false">
      <c r="B585" s="57" t="s">
        <v>289</v>
      </c>
      <c r="C585" s="65" t="s">
        <v>356</v>
      </c>
      <c r="D585" s="65" t="s">
        <v>357</v>
      </c>
      <c r="E585" s="65" t="s">
        <v>358</v>
      </c>
      <c r="F585" s="65" t="s">
        <v>359</v>
      </c>
      <c r="G585" s="65" t="s">
        <v>360</v>
      </c>
      <c r="H585" s="65" t="s">
        <v>361</v>
      </c>
      <c r="I585" s="65" t="s">
        <v>362</v>
      </c>
      <c r="J585" s="65" t="s">
        <v>363</v>
      </c>
    </row>
    <row r="586" customFormat="false" ht="12.65" hidden="false" customHeight="false" outlineLevel="1" collapsed="false">
      <c r="B586" s="57" t="s">
        <v>324</v>
      </c>
      <c r="C586" s="65" t="s">
        <v>380</v>
      </c>
      <c r="D586" s="65" t="s">
        <v>381</v>
      </c>
      <c r="E586" s="65" t="s">
        <v>382</v>
      </c>
      <c r="F586" s="65" t="s">
        <v>383</v>
      </c>
      <c r="G586" s="65" t="s">
        <v>384</v>
      </c>
      <c r="H586" s="65" t="s">
        <v>385</v>
      </c>
      <c r="I586" s="65" t="s">
        <v>386</v>
      </c>
      <c r="J586" s="65" t="s">
        <v>387</v>
      </c>
    </row>
    <row r="587" customFormat="false" ht="12.65" hidden="false" customHeight="false" outlineLevel="1" collapsed="false">
      <c r="B587" s="29" t="s">
        <v>299</v>
      </c>
      <c r="C587" s="44" t="n">
        <v>540</v>
      </c>
      <c r="D587" s="44" t="n">
        <v>570</v>
      </c>
      <c r="E587" s="44" t="n">
        <v>600</v>
      </c>
      <c r="F587" s="44" t="n">
        <v>630</v>
      </c>
      <c r="G587" s="44" t="n">
        <v>600</v>
      </c>
      <c r="H587" s="44" t="n">
        <v>720</v>
      </c>
      <c r="I587" s="44" t="n">
        <v>840</v>
      </c>
      <c r="J587" s="44" t="n">
        <v>1050</v>
      </c>
    </row>
    <row r="588" customFormat="false" ht="12.65" hidden="false" customHeight="false" outlineLevel="0" collapsed="false"/>
    <row r="589" customFormat="false" ht="15" hidden="false" customHeight="true" outlineLevel="0" collapsed="false">
      <c r="A589" s="33" t="s">
        <v>388</v>
      </c>
      <c r="B589" s="33"/>
      <c r="C589" s="33"/>
      <c r="D589" s="33"/>
      <c r="E589" s="33"/>
      <c r="F589" s="33"/>
      <c r="G589" s="33"/>
      <c r="H589" s="33"/>
      <c r="I589" s="33"/>
    </row>
    <row r="590" customFormat="false" ht="12.75" hidden="false" customHeight="false" outlineLevel="1" collapsed="false">
      <c r="B590" s="24" t="s">
        <v>389</v>
      </c>
      <c r="C590" s="107" t="s">
        <v>37</v>
      </c>
      <c r="D590" s="107" t="s">
        <v>38</v>
      </c>
      <c r="E590" s="107" t="s">
        <v>39</v>
      </c>
      <c r="F590" s="107" t="s">
        <v>40</v>
      </c>
      <c r="G590" s="107" t="s">
        <v>41</v>
      </c>
      <c r="H590" s="107" t="s">
        <v>42</v>
      </c>
      <c r="I590" s="107" t="s">
        <v>43</v>
      </c>
      <c r="J590" s="107" t="s">
        <v>44</v>
      </c>
    </row>
    <row r="591" customFormat="false" ht="12.75" hidden="false" customHeight="false" outlineLevel="1" collapsed="false">
      <c r="B591" s="29" t="s">
        <v>20</v>
      </c>
      <c r="C591" s="108" t="n">
        <v>1.81922859703353</v>
      </c>
      <c r="D591" s="108" t="n">
        <v>2.02156669221316</v>
      </c>
      <c r="E591" s="108" t="n">
        <v>2.11477802509566</v>
      </c>
      <c r="F591" s="108" t="n">
        <v>2.15583456742161</v>
      </c>
      <c r="G591" s="108" t="n">
        <v>2.29921531273651</v>
      </c>
      <c r="H591" s="108" t="n">
        <v>3.6677243868119</v>
      </c>
      <c r="I591" s="108" t="n">
        <v>4.64938958858386</v>
      </c>
      <c r="J591" s="109" t="n">
        <v>5.87968896318446</v>
      </c>
    </row>
    <row r="592" customFormat="false" ht="12.75" hidden="false" customHeight="false" outlineLevel="1" collapsed="false">
      <c r="B592" s="29" t="s">
        <v>21</v>
      </c>
      <c r="C592" s="108" t="n">
        <v>1.83626284363952</v>
      </c>
      <c r="D592" s="108" t="n">
        <v>2.0407302196449</v>
      </c>
      <c r="E592" s="108" t="n">
        <v>2.13500619294027</v>
      </c>
      <c r="F592" s="108" t="n">
        <v>2.1771273756791</v>
      </c>
      <c r="G592" s="108" t="n">
        <v>2.32583132305837</v>
      </c>
      <c r="H592" s="108" t="n">
        <v>3.7049868012625</v>
      </c>
      <c r="I592" s="108" t="n">
        <v>4.69197520509883</v>
      </c>
      <c r="J592" s="109" t="n">
        <v>5.92759778176381</v>
      </c>
    </row>
    <row r="593" customFormat="false" ht="12.75" hidden="false" customHeight="false" outlineLevel="1" collapsed="false">
      <c r="B593" s="29" t="s">
        <v>22</v>
      </c>
      <c r="C593" s="108" t="n">
        <v>1.76140371864951</v>
      </c>
      <c r="D593" s="108" t="n">
        <v>1.95651370403113</v>
      </c>
      <c r="E593" s="108" t="n">
        <v>2.04611098201463</v>
      </c>
      <c r="F593" s="108" t="n">
        <v>2.08355346944158</v>
      </c>
      <c r="G593" s="108" t="n">
        <v>2.20886394026147</v>
      </c>
      <c r="H593" s="108" t="n">
        <v>3.54123246534684</v>
      </c>
      <c r="I593" s="108" t="n">
        <v>4.50482739262379</v>
      </c>
      <c r="J593" s="109" t="n">
        <v>5.71705649272939</v>
      </c>
    </row>
    <row r="594" customFormat="false" ht="12.75" hidden="false" customHeight="false" outlineLevel="1" collapsed="false">
      <c r="B594" s="110" t="s">
        <v>23</v>
      </c>
      <c r="C594" s="66" t="n">
        <v>1.81242387224951</v>
      </c>
      <c r="D594" s="66" t="n">
        <v>2.01391137683113</v>
      </c>
      <c r="E594" s="66" t="n">
        <v>2.10669741441463</v>
      </c>
      <c r="F594" s="66" t="n">
        <v>2.14732866144158</v>
      </c>
      <c r="G594" s="66" t="n">
        <v>2.28858293026147</v>
      </c>
      <c r="H594" s="66" t="n">
        <v>3.65283905134684</v>
      </c>
      <c r="I594" s="66" t="n">
        <v>4.63237777662379</v>
      </c>
      <c r="J594" s="111" t="n">
        <v>5.86055067472939</v>
      </c>
    </row>
    <row r="595" customFormat="false" ht="12.75" hidden="false" customHeight="false" outlineLevel="1" collapsed="false">
      <c r="B595" s="110" t="s">
        <v>24</v>
      </c>
      <c r="C595" s="66" t="n">
        <v>1.90162728473284</v>
      </c>
      <c r="D595" s="66" t="n">
        <v>2.11426521587488</v>
      </c>
      <c r="E595" s="66" t="n">
        <v>2.21262646673859</v>
      </c>
      <c r="F595" s="66" t="n">
        <v>2.25883292704575</v>
      </c>
      <c r="G595" s="66" t="n">
        <v>2.42796326226668</v>
      </c>
      <c r="H595" s="66" t="n">
        <v>3.84797151615414</v>
      </c>
      <c r="I595" s="66" t="n">
        <v>4.85538630783213</v>
      </c>
      <c r="J595" s="111" t="n">
        <v>6.11143527233877</v>
      </c>
    </row>
    <row r="596" customFormat="false" ht="12.75" hidden="false" customHeight="false" outlineLevel="1" collapsed="false">
      <c r="B596" s="110" t="s">
        <v>25</v>
      </c>
      <c r="C596" s="66" t="n">
        <v>2.0564701825075</v>
      </c>
      <c r="D596" s="66" t="n">
        <v>2.28846347587137</v>
      </c>
      <c r="E596" s="66" t="n">
        <v>2.39650240784599</v>
      </c>
      <c r="F596" s="66" t="n">
        <v>2.45238654926407</v>
      </c>
      <c r="G596" s="66" t="n">
        <v>2.66990529003958</v>
      </c>
      <c r="H596" s="66" t="n">
        <v>4.1866903550362</v>
      </c>
      <c r="I596" s="66" t="n">
        <v>5.24249355226877</v>
      </c>
      <c r="J596" s="111" t="n">
        <v>6.54693092232999</v>
      </c>
    </row>
    <row r="597" customFormat="false" ht="12.75" hidden="false" customHeight="false" outlineLevel="1" collapsed="false">
      <c r="B597" s="29" t="s">
        <v>26</v>
      </c>
      <c r="C597" s="108" t="n">
        <v>1.88040724612685</v>
      </c>
      <c r="D597" s="108" t="n">
        <v>2.09039267244314</v>
      </c>
      <c r="E597" s="108" t="n">
        <v>2.18742767089398</v>
      </c>
      <c r="F597" s="108" t="n">
        <v>2.23230787878826</v>
      </c>
      <c r="G597" s="108" t="n">
        <v>2.39480695194482</v>
      </c>
      <c r="H597" s="108" t="n">
        <v>3.80155268170353</v>
      </c>
      <c r="I597" s="108" t="n">
        <v>4.80233621131716</v>
      </c>
      <c r="J597" s="109" t="n">
        <v>6.05175391375942</v>
      </c>
    </row>
    <row r="598" customFormat="false" ht="12.75" hidden="false" customHeight="false" outlineLevel="1" collapsed="false">
      <c r="B598" s="29" t="s">
        <v>27</v>
      </c>
      <c r="C598" s="108" t="n">
        <v>1.86828130623918</v>
      </c>
      <c r="D598" s="108" t="n">
        <v>2.0767509900695</v>
      </c>
      <c r="E598" s="108" t="n">
        <v>2.17302811727736</v>
      </c>
      <c r="F598" s="108" t="n">
        <v>2.21715045392866</v>
      </c>
      <c r="G598" s="108" t="n">
        <v>2.37586017087033</v>
      </c>
      <c r="H598" s="108" t="n">
        <v>3.77502718819924</v>
      </c>
      <c r="I598" s="108" t="n">
        <v>4.77202136159797</v>
      </c>
      <c r="J598" s="109" t="n">
        <v>6.01764970782534</v>
      </c>
    </row>
    <row r="599" customFormat="false" ht="12.75" hidden="false" customHeight="false" outlineLevel="1" collapsed="false">
      <c r="B599" s="29" t="s">
        <v>28</v>
      </c>
      <c r="C599" s="108" t="n">
        <v>2.0464242817075</v>
      </c>
      <c r="D599" s="108" t="n">
        <v>2.27716183747137</v>
      </c>
      <c r="E599" s="108" t="n">
        <v>2.38457290064599</v>
      </c>
      <c r="F599" s="108" t="n">
        <v>2.43982917326407</v>
      </c>
      <c r="G599" s="108" t="n">
        <v>2.65420857003958</v>
      </c>
      <c r="H599" s="108" t="n">
        <v>4.1647149470362</v>
      </c>
      <c r="I599" s="108" t="n">
        <v>5.21737880026877</v>
      </c>
      <c r="J599" s="109" t="n">
        <v>6.51867682632999</v>
      </c>
    </row>
    <row r="600" customFormat="false" ht="12.75" hidden="false" customHeight="false" outlineLevel="1" collapsed="false">
      <c r="B600" s="110" t="s">
        <v>29</v>
      </c>
      <c r="C600" s="66" t="n">
        <v>1.79327668663353</v>
      </c>
      <c r="D600" s="66" t="n">
        <v>1.99237079301316</v>
      </c>
      <c r="E600" s="66" t="n">
        <v>2.08396013149566</v>
      </c>
      <c r="F600" s="66" t="n">
        <v>2.12339467942161</v>
      </c>
      <c r="G600" s="66" t="n">
        <v>2.25866545273651</v>
      </c>
      <c r="H600" s="66" t="n">
        <v>3.6109545828119</v>
      </c>
      <c r="I600" s="66" t="n">
        <v>4.58450981258386</v>
      </c>
      <c r="J600" s="111" t="n">
        <v>5.80669921518447</v>
      </c>
    </row>
    <row r="601" customFormat="false" ht="12.75" hidden="false" customHeight="false" outlineLevel="1" collapsed="false">
      <c r="B601" s="110" t="s">
        <v>30</v>
      </c>
      <c r="C601" s="66" t="n">
        <v>1.6703900056515</v>
      </c>
      <c r="D601" s="66" t="n">
        <v>1.85412327690837</v>
      </c>
      <c r="E601" s="66" t="n">
        <v>1.9380321978295</v>
      </c>
      <c r="F601" s="66" t="n">
        <v>1.96978632819407</v>
      </c>
      <c r="G601" s="66" t="n">
        <v>2.06665501370209</v>
      </c>
      <c r="H601" s="66" t="n">
        <v>3.34213996816371</v>
      </c>
      <c r="I601" s="66" t="n">
        <v>4.27729311012878</v>
      </c>
      <c r="J601" s="111" t="n">
        <v>5.46108042492251</v>
      </c>
    </row>
    <row r="602" customFormat="false" ht="12.75" hidden="false" customHeight="false" outlineLevel="1" collapsed="false">
      <c r="B602" s="110" t="s">
        <v>31</v>
      </c>
      <c r="C602" s="66" t="n">
        <v>1.70159646518502</v>
      </c>
      <c r="D602" s="66" t="n">
        <v>1.88923054388358</v>
      </c>
      <c r="E602" s="66" t="n">
        <v>1.97508986852555</v>
      </c>
      <c r="F602" s="66" t="n">
        <v>2.00879440261097</v>
      </c>
      <c r="G602" s="66" t="n">
        <v>2.11541510672321</v>
      </c>
      <c r="H602" s="66" t="n">
        <v>3.41040409839328</v>
      </c>
      <c r="I602" s="66" t="n">
        <v>4.35530925896257</v>
      </c>
      <c r="J602" s="111" t="n">
        <v>5.54884859236052</v>
      </c>
    </row>
    <row r="603" customFormat="false" ht="12.75" hidden="false" customHeight="false" outlineLevel="1" collapsed="false">
      <c r="B603" s="29" t="s">
        <v>32</v>
      </c>
      <c r="C603" s="108" t="n">
        <v>1.70042600411925</v>
      </c>
      <c r="D603" s="108" t="n">
        <v>1.88791377518458</v>
      </c>
      <c r="E603" s="108" t="n">
        <v>1.97369994600994</v>
      </c>
      <c r="F603" s="108" t="n">
        <v>2.00733132627875</v>
      </c>
      <c r="G603" s="108" t="n">
        <v>2.11358626130794</v>
      </c>
      <c r="H603" s="108" t="n">
        <v>3.4078437148119</v>
      </c>
      <c r="I603" s="108" t="n">
        <v>4.35238310629814</v>
      </c>
      <c r="J603" s="109" t="n">
        <v>5.54555667061303</v>
      </c>
    </row>
    <row r="604" customFormat="false" ht="12.75" hidden="false" customHeight="false" outlineLevel="1" collapsed="false">
      <c r="B604" s="29" t="s">
        <v>33</v>
      </c>
      <c r="C604" s="108" t="n">
        <v>1.98471859843883</v>
      </c>
      <c r="D604" s="108" t="n">
        <v>2.20774294379412</v>
      </c>
      <c r="E604" s="108" t="n">
        <v>2.31129740176446</v>
      </c>
      <c r="F604" s="108" t="n">
        <v>2.36269706917824</v>
      </c>
      <c r="G604" s="108" t="n">
        <v>2.55779343993229</v>
      </c>
      <c r="H604" s="108" t="n">
        <v>4.029733764886</v>
      </c>
      <c r="I604" s="108" t="n">
        <v>5.06311459209712</v>
      </c>
      <c r="J604" s="109" t="n">
        <v>6.34512959213688</v>
      </c>
    </row>
    <row r="605" customFormat="false" ht="12.75" hidden="false" customHeight="false" outlineLevel="1" collapsed="false">
      <c r="B605" s="29" t="s">
        <v>34</v>
      </c>
      <c r="C605" s="108" t="n">
        <v>1.98778835118053</v>
      </c>
      <c r="D605" s="108" t="n">
        <v>2.21003057937506</v>
      </c>
      <c r="E605" s="108" t="n">
        <v>2.31282385249956</v>
      </c>
      <c r="F605" s="108" t="n">
        <v>2.36103653085558</v>
      </c>
      <c r="G605" s="108" t="n">
        <v>2.53731879509685</v>
      </c>
      <c r="H605" s="108" t="n">
        <v>4.02194474811549</v>
      </c>
      <c r="I605" s="108" t="n">
        <v>5.07550144353276</v>
      </c>
      <c r="J605" s="109" t="n">
        <v>6.38925669191023</v>
      </c>
      <c r="M605" s="112"/>
    </row>
    <row r="606" customFormat="false" ht="12" hidden="false" customHeight="true" outlineLevel="1" collapsed="false">
      <c r="B606" s="113" t="s">
        <v>390</v>
      </c>
      <c r="C606" s="113"/>
      <c r="D606" s="113"/>
      <c r="E606" s="113"/>
      <c r="F606" s="113"/>
      <c r="G606" s="113"/>
      <c r="H606" s="113"/>
      <c r="I606" s="113"/>
      <c r="J606" s="113"/>
    </row>
    <row r="607" customFormat="false" ht="12.65" hidden="false" customHeight="false" outlineLevel="0" collapsed="false"/>
    <row r="608" customFormat="false" ht="15" hidden="false" customHeight="true" outlineLevel="0" collapsed="false">
      <c r="A608" s="114" t="s">
        <v>391</v>
      </c>
      <c r="C608" s="114"/>
      <c r="D608" s="114"/>
      <c r="E608" s="114"/>
      <c r="F608" s="114"/>
      <c r="G608" s="114"/>
      <c r="H608" s="114"/>
    </row>
    <row r="609" customFormat="false" ht="12.75" hidden="false" customHeight="false" outlineLevel="1" collapsed="false">
      <c r="B609" s="24" t="s">
        <v>389</v>
      </c>
      <c r="C609" s="107" t="s">
        <v>37</v>
      </c>
      <c r="D609" s="107" t="s">
        <v>38</v>
      </c>
      <c r="E609" s="107" t="s">
        <v>39</v>
      </c>
      <c r="F609" s="107" t="s">
        <v>40</v>
      </c>
      <c r="G609" s="107" t="s">
        <v>41</v>
      </c>
      <c r="H609" s="107" t="s">
        <v>42</v>
      </c>
    </row>
    <row r="610" customFormat="false" ht="12.75" hidden="false" customHeight="false" outlineLevel="1" collapsed="false">
      <c r="B610" s="29" t="s">
        <v>20</v>
      </c>
      <c r="C610" s="108" t="n">
        <v>2.59155857110341</v>
      </c>
      <c r="D610" s="108" t="n">
        <v>2.92599362876523</v>
      </c>
      <c r="E610" s="108" t="n">
        <v>3.09292900479868</v>
      </c>
      <c r="F610" s="108" t="n">
        <v>3.16827906242543</v>
      </c>
      <c r="G610" s="108" t="n">
        <v>3.72025693406833</v>
      </c>
      <c r="H610" s="108" t="n">
        <v>6.09917137469125</v>
      </c>
    </row>
    <row r="611" customFormat="false" ht="12.75" hidden="false" customHeight="false" outlineLevel="1" collapsed="false">
      <c r="B611" s="29" t="s">
        <v>21</v>
      </c>
      <c r="C611" s="108" t="n">
        <v>2.6085928177094</v>
      </c>
      <c r="D611" s="108" t="n">
        <v>2.94515715619696</v>
      </c>
      <c r="E611" s="108" t="n">
        <v>3.1131571726433</v>
      </c>
      <c r="F611" s="108" t="n">
        <v>3.18957187068292</v>
      </c>
      <c r="G611" s="108" t="n">
        <v>3.74687294439019</v>
      </c>
      <c r="H611" s="108" t="n">
        <v>6.13643378914185</v>
      </c>
    </row>
    <row r="612" customFormat="false" ht="12.75" hidden="false" customHeight="false" outlineLevel="1" collapsed="false">
      <c r="B612" s="29" t="s">
        <v>22</v>
      </c>
      <c r="C612" s="108" t="n">
        <v>2.53373369271938</v>
      </c>
      <c r="D612" s="108" t="n">
        <v>2.8609406405832</v>
      </c>
      <c r="E612" s="108" t="n">
        <v>3.02426196171765</v>
      </c>
      <c r="F612" s="108" t="n">
        <v>3.0959979644454</v>
      </c>
      <c r="G612" s="108" t="n">
        <v>3.62990556159329</v>
      </c>
      <c r="H612" s="108" t="n">
        <v>5.97267945322619</v>
      </c>
    </row>
    <row r="613" customFormat="false" ht="12.75" hidden="false" customHeight="false" outlineLevel="1" collapsed="false">
      <c r="B613" s="110" t="s">
        <v>23</v>
      </c>
      <c r="C613" s="66" t="n">
        <v>2.58475384631938</v>
      </c>
      <c r="D613" s="66" t="n">
        <v>2.9183383133832</v>
      </c>
      <c r="E613" s="66" t="n">
        <v>3.08484839411765</v>
      </c>
      <c r="F613" s="66" t="n">
        <v>3.1597731564454</v>
      </c>
      <c r="G613" s="66" t="n">
        <v>3.70962455159329</v>
      </c>
      <c r="H613" s="66" t="n">
        <v>6.08428603922619</v>
      </c>
    </row>
    <row r="614" customFormat="false" ht="12.75" hidden="false" customHeight="false" outlineLevel="1" collapsed="false">
      <c r="B614" s="110" t="s">
        <v>24</v>
      </c>
      <c r="C614" s="66" t="n">
        <v>2.67395725880272</v>
      </c>
      <c r="D614" s="66" t="n">
        <v>3.01869215242695</v>
      </c>
      <c r="E614" s="66" t="n">
        <v>3.19077744644161</v>
      </c>
      <c r="F614" s="66" t="n">
        <v>3.27127742204957</v>
      </c>
      <c r="G614" s="66" t="n">
        <v>3.8490048835985</v>
      </c>
      <c r="H614" s="66" t="n">
        <v>6.27941850403348</v>
      </c>
    </row>
    <row r="615" customFormat="false" ht="12.75" hidden="false" customHeight="false" outlineLevel="1" collapsed="false">
      <c r="B615" s="110" t="s">
        <v>25</v>
      </c>
      <c r="C615" s="66" t="n">
        <v>2.82880015657737</v>
      </c>
      <c r="D615" s="66" t="n">
        <v>3.19289041242344</v>
      </c>
      <c r="E615" s="66" t="n">
        <v>3.37465338754902</v>
      </c>
      <c r="F615" s="66" t="n">
        <v>3.46483104426789</v>
      </c>
      <c r="G615" s="66" t="n">
        <v>4.0909469113714</v>
      </c>
      <c r="H615" s="66" t="n">
        <v>6.61813734291554</v>
      </c>
    </row>
    <row r="616" customFormat="false" ht="12.75" hidden="false" customHeight="false" outlineLevel="1" collapsed="false">
      <c r="B616" s="29" t="s">
        <v>26</v>
      </c>
      <c r="C616" s="108" t="n">
        <v>2.65273722019672</v>
      </c>
      <c r="D616" s="108" t="n">
        <v>2.99481960899521</v>
      </c>
      <c r="E616" s="108" t="n">
        <v>3.165578650597</v>
      </c>
      <c r="F616" s="108" t="n">
        <v>3.24475237379208</v>
      </c>
      <c r="G616" s="108" t="n">
        <v>3.81584857327664</v>
      </c>
      <c r="H616" s="108" t="n">
        <v>6.23299966958288</v>
      </c>
    </row>
    <row r="617" customFormat="false" ht="12.75" hidden="false" customHeight="false" outlineLevel="1" collapsed="false">
      <c r="B617" s="29" t="s">
        <v>27</v>
      </c>
      <c r="C617" s="108" t="n">
        <v>2.64061128030905</v>
      </c>
      <c r="D617" s="108" t="n">
        <v>2.98117792662157</v>
      </c>
      <c r="E617" s="108" t="n">
        <v>3.15117909698038</v>
      </c>
      <c r="F617" s="108" t="n">
        <v>3.22959494893249</v>
      </c>
      <c r="G617" s="108" t="n">
        <v>3.79690179220215</v>
      </c>
      <c r="H617" s="108" t="n">
        <v>6.20647417607859</v>
      </c>
    </row>
    <row r="618" customFormat="false" ht="12.75" hidden="false" customHeight="false" outlineLevel="1" collapsed="false">
      <c r="B618" s="29" t="s">
        <v>28</v>
      </c>
      <c r="C618" s="108" t="n">
        <v>2.81875425577737</v>
      </c>
      <c r="D618" s="108" t="n">
        <v>3.18158877402344</v>
      </c>
      <c r="E618" s="108" t="n">
        <v>3.36272388034902</v>
      </c>
      <c r="F618" s="108" t="n">
        <v>3.45227366826789</v>
      </c>
      <c r="G618" s="108" t="n">
        <v>4.0752501913714</v>
      </c>
      <c r="H618" s="108" t="n">
        <v>6.59616193491554</v>
      </c>
    </row>
    <row r="619" customFormat="false" ht="12.75" hidden="false" customHeight="false" outlineLevel="1" collapsed="false">
      <c r="B619" s="110" t="s">
        <v>29</v>
      </c>
      <c r="C619" s="66" t="n">
        <v>2.56560666070341</v>
      </c>
      <c r="D619" s="66" t="n">
        <v>2.89679772956523</v>
      </c>
      <c r="E619" s="66" t="n">
        <v>3.06211111119868</v>
      </c>
      <c r="F619" s="66" t="n">
        <v>3.13583917442543</v>
      </c>
      <c r="G619" s="66" t="n">
        <v>3.67970707406833</v>
      </c>
      <c r="H619" s="66" t="n">
        <v>6.04240157069124</v>
      </c>
    </row>
    <row r="620" customFormat="false" ht="12.75" hidden="false" customHeight="false" outlineLevel="1" collapsed="false">
      <c r="B620" s="110" t="s">
        <v>30</v>
      </c>
      <c r="C620" s="66" t="n">
        <v>2.44271997972138</v>
      </c>
      <c r="D620" s="66" t="n">
        <v>2.75855021346044</v>
      </c>
      <c r="E620" s="66" t="n">
        <v>2.91618317753252</v>
      </c>
      <c r="F620" s="66" t="n">
        <v>2.98223082319789</v>
      </c>
      <c r="G620" s="66" t="n">
        <v>3.48769663503391</v>
      </c>
      <c r="H620" s="66" t="n">
        <v>5.77358695604306</v>
      </c>
    </row>
    <row r="621" customFormat="false" ht="12.75" hidden="false" customHeight="false" outlineLevel="1" collapsed="false">
      <c r="B621" s="110" t="s">
        <v>31</v>
      </c>
      <c r="C621" s="66" t="n">
        <v>2.47392643925489</v>
      </c>
      <c r="D621" s="66" t="n">
        <v>2.79365748043565</v>
      </c>
      <c r="E621" s="66" t="n">
        <v>2.95324084822857</v>
      </c>
      <c r="F621" s="66" t="n">
        <v>3.02123889761479</v>
      </c>
      <c r="G621" s="66" t="n">
        <v>3.53645672805503</v>
      </c>
      <c r="H621" s="66" t="n">
        <v>5.84185108627262</v>
      </c>
    </row>
    <row r="622" customFormat="false" ht="12.75" hidden="false" customHeight="false" outlineLevel="1" collapsed="false">
      <c r="B622" s="29" t="s">
        <v>32</v>
      </c>
      <c r="C622" s="108" t="n">
        <v>2.47275597818912</v>
      </c>
      <c r="D622" s="108" t="n">
        <v>2.79234071173665</v>
      </c>
      <c r="E622" s="108" t="n">
        <v>2.95185092571297</v>
      </c>
      <c r="F622" s="108" t="n">
        <v>3.01977582128257</v>
      </c>
      <c r="G622" s="108" t="n">
        <v>3.53462788263976</v>
      </c>
      <c r="H622" s="108" t="n">
        <v>5.83929070269125</v>
      </c>
    </row>
    <row r="623" customFormat="false" ht="12.75" hidden="false" customHeight="false" outlineLevel="1" collapsed="false">
      <c r="B623" s="29" t="s">
        <v>33</v>
      </c>
      <c r="C623" s="108" t="n">
        <v>2.75704857250871</v>
      </c>
      <c r="D623" s="108" t="n">
        <v>3.11216988034619</v>
      </c>
      <c r="E623" s="108" t="n">
        <v>3.28944838146748</v>
      </c>
      <c r="F623" s="108" t="n">
        <v>3.37514156418206</v>
      </c>
      <c r="G623" s="108" t="n">
        <v>3.97883506126411</v>
      </c>
      <c r="H623" s="108" t="n">
        <v>6.46118075276534</v>
      </c>
    </row>
    <row r="624" customFormat="false" ht="12.75" hidden="false" customHeight="false" outlineLevel="1" collapsed="false">
      <c r="B624" s="29" t="s">
        <v>34</v>
      </c>
      <c r="C624" s="108" t="n">
        <v>2.67177217630905</v>
      </c>
      <c r="D624" s="108" t="n">
        <v>3.01623393462157</v>
      </c>
      <c r="E624" s="108" t="n">
        <v>3.18818266098038</v>
      </c>
      <c r="F624" s="108" t="n">
        <v>3.26854606893249</v>
      </c>
      <c r="G624" s="108" t="n">
        <v>3.84559069220215</v>
      </c>
      <c r="H624" s="108" t="n">
        <v>6.27463863607859</v>
      </c>
    </row>
    <row r="625" customFormat="false" ht="12" hidden="false" customHeight="true" outlineLevel="1" collapsed="false">
      <c r="B625" s="113" t="s">
        <v>390</v>
      </c>
      <c r="C625" s="113"/>
      <c r="D625" s="113"/>
      <c r="E625" s="113"/>
      <c r="F625" s="113"/>
      <c r="G625" s="113"/>
      <c r="H625" s="113"/>
    </row>
    <row r="626" customFormat="false" ht="12.65" hidden="false" customHeight="false" outlineLevel="0" collapsed="false"/>
    <row r="627" customFormat="false" ht="15" hidden="false" customHeight="true" outlineLevel="0" collapsed="false">
      <c r="A627" s="33" t="s">
        <v>392</v>
      </c>
      <c r="C627" s="33"/>
      <c r="D627" s="33"/>
      <c r="E627" s="33"/>
      <c r="F627" s="33"/>
      <c r="G627" s="33"/>
      <c r="H627" s="33"/>
      <c r="I627" s="33"/>
      <c r="J627" s="33"/>
    </row>
    <row r="628" customFormat="false" ht="12.75" hidden="false" customHeight="false" outlineLevel="1" collapsed="false">
      <c r="B628" s="24" t="s">
        <v>393</v>
      </c>
      <c r="C628" s="107" t="s">
        <v>37</v>
      </c>
      <c r="D628" s="107" t="s">
        <v>38</v>
      </c>
      <c r="E628" s="107" t="s">
        <v>39</v>
      </c>
      <c r="F628" s="107" t="s">
        <v>40</v>
      </c>
      <c r="G628" s="107" t="s">
        <v>41</v>
      </c>
      <c r="H628" s="107" t="s">
        <v>42</v>
      </c>
      <c r="I628" s="107" t="s">
        <v>43</v>
      </c>
      <c r="J628" s="107" t="s">
        <v>44</v>
      </c>
    </row>
    <row r="629" customFormat="false" ht="12.75" hidden="false" customHeight="false" outlineLevel="1" collapsed="false">
      <c r="B629" s="29" t="s">
        <v>394</v>
      </c>
      <c r="C629" s="66" t="n">
        <v>1.59788409129045</v>
      </c>
      <c r="D629" s="66" t="n">
        <v>1.77247640083529</v>
      </c>
      <c r="E629" s="66" t="n">
        <v>1.85179016581604</v>
      </c>
      <c r="F629" s="66" t="n">
        <v>1.87878741995944</v>
      </c>
      <c r="G629" s="66" t="n">
        <v>1.95167978027999</v>
      </c>
      <c r="H629" s="44" t="s">
        <v>76</v>
      </c>
      <c r="I629" s="44" t="s">
        <v>76</v>
      </c>
      <c r="J629" s="44" t="s">
        <v>76</v>
      </c>
    </row>
    <row r="630" customFormat="false" ht="12.75" hidden="false" customHeight="false" outlineLevel="1" collapsed="false">
      <c r="B630" s="29" t="s">
        <v>395</v>
      </c>
      <c r="C630" s="66" t="n">
        <v>2.36432432209757</v>
      </c>
      <c r="D630" s="66" t="n">
        <v>2.67035509863366</v>
      </c>
      <c r="E630" s="44" t="s">
        <v>76</v>
      </c>
      <c r="F630" s="44" t="s">
        <v>76</v>
      </c>
      <c r="G630" s="44" t="s">
        <v>76</v>
      </c>
      <c r="H630" s="44" t="s">
        <v>76</v>
      </c>
      <c r="I630" s="44" t="s">
        <v>76</v>
      </c>
      <c r="J630" s="44" t="s">
        <v>76</v>
      </c>
    </row>
    <row r="631" customFormat="false" ht="12.75" hidden="false" customHeight="false" outlineLevel="1" collapsed="false">
      <c r="B631" s="29" t="s">
        <v>396</v>
      </c>
      <c r="C631" s="115" t="n">
        <v>0.406695071691221</v>
      </c>
      <c r="D631" s="115" t="n">
        <v>0.475935713433523</v>
      </c>
      <c r="E631" s="115" t="n">
        <v>0.479578637663469</v>
      </c>
      <c r="F631" s="115" t="n">
        <v>0.481905464178532</v>
      </c>
      <c r="G631" s="115" t="n">
        <v>0.481905464178532</v>
      </c>
      <c r="H631" s="115" t="n">
        <v>0.756995450581286</v>
      </c>
      <c r="I631" s="115" t="n">
        <v>1.05278694105965</v>
      </c>
      <c r="J631" s="115" t="n">
        <v>1.45702058034185</v>
      </c>
    </row>
    <row r="632" customFormat="false" ht="12" hidden="false" customHeight="true" outlineLevel="1" collapsed="false">
      <c r="B632" s="116" t="s">
        <v>390</v>
      </c>
      <c r="C632" s="116"/>
      <c r="D632" s="116"/>
      <c r="E632" s="116"/>
      <c r="F632" s="116"/>
      <c r="G632" s="116"/>
      <c r="H632" s="116"/>
      <c r="I632" s="116"/>
      <c r="J632" s="116"/>
    </row>
    <row r="633" customFormat="false" ht="12.65" hidden="false" customHeight="false" outlineLevel="0" collapsed="false"/>
    <row r="634" customFormat="false" ht="15" hidden="false" customHeight="true" outlineLevel="0" collapsed="false">
      <c r="A634" s="33" t="s">
        <v>397</v>
      </c>
      <c r="C634" s="33"/>
      <c r="D634" s="33"/>
      <c r="E634" s="33"/>
      <c r="F634" s="33"/>
      <c r="G634" s="33"/>
    </row>
    <row r="635" customFormat="false" ht="12.75" hidden="false" customHeight="false" outlineLevel="1" collapsed="false">
      <c r="B635" s="36" t="s">
        <v>398</v>
      </c>
      <c r="C635" s="117" t="s">
        <v>399</v>
      </c>
      <c r="D635" s="117" t="s">
        <v>400</v>
      </c>
      <c r="E635" s="117" t="s">
        <v>43</v>
      </c>
      <c r="F635" s="117" t="s">
        <v>401</v>
      </c>
      <c r="G635" s="117" t="s">
        <v>402</v>
      </c>
    </row>
    <row r="636" customFormat="false" ht="12.75" hidden="false" customHeight="false" outlineLevel="1" collapsed="false">
      <c r="B636" s="29" t="s">
        <v>20</v>
      </c>
      <c r="C636" s="108" t="n">
        <v>2.4247722691568</v>
      </c>
      <c r="D636" s="108" t="n">
        <v>2.87268031832045</v>
      </c>
      <c r="E636" s="108" t="n">
        <v>3.01735089076213</v>
      </c>
      <c r="F636" s="108" t="n">
        <v>3.21138375561788</v>
      </c>
      <c r="G636" s="108" t="n">
        <v>5.76061386243377</v>
      </c>
    </row>
    <row r="637" customFormat="false" ht="12.75" hidden="false" customHeight="false" outlineLevel="1" collapsed="false">
      <c r="B637" s="29" t="s">
        <v>21</v>
      </c>
      <c r="C637" s="108" t="n">
        <v>2.45245291989154</v>
      </c>
      <c r="D637" s="108" t="n">
        <v>2.91100737318393</v>
      </c>
      <c r="E637" s="108" t="n">
        <v>3.05993650727711</v>
      </c>
      <c r="F637" s="108" t="n">
        <v>3.25716329337148</v>
      </c>
      <c r="G637" s="108" t="n">
        <v>5.80852268101312</v>
      </c>
    </row>
    <row r="638" customFormat="false" ht="12.75" hidden="false" customHeight="false" outlineLevel="1" collapsed="false">
      <c r="B638" s="29" t="s">
        <v>22</v>
      </c>
      <c r="C638" s="108" t="n">
        <v>2.33080684178276</v>
      </c>
      <c r="D638" s="108" t="n">
        <v>2.74257434195639</v>
      </c>
      <c r="E638" s="108" t="n">
        <v>2.87278869480207</v>
      </c>
      <c r="F638" s="108" t="n">
        <v>3.05597939496081</v>
      </c>
      <c r="G638" s="108" t="n">
        <v>5.5979813919787</v>
      </c>
    </row>
    <row r="639" customFormat="false" ht="12.75" hidden="false" customHeight="false" outlineLevel="1" collapsed="false">
      <c r="B639" s="110" t="s">
        <v>23</v>
      </c>
      <c r="C639" s="66" t="n">
        <v>2.41371459138276</v>
      </c>
      <c r="D639" s="66" t="n">
        <v>2.85736968755639</v>
      </c>
      <c r="E639" s="66" t="n">
        <v>3.00033907880206</v>
      </c>
      <c r="F639" s="66" t="n">
        <v>3.19309605776081</v>
      </c>
      <c r="G639" s="66" t="n">
        <v>5.7414755739787</v>
      </c>
    </row>
    <row r="640" customFormat="false" ht="12.75" hidden="false" customHeight="false" outlineLevel="1" collapsed="false">
      <c r="B640" s="110" t="s">
        <v>24</v>
      </c>
      <c r="C640" s="66" t="n">
        <v>2.55867013666818</v>
      </c>
      <c r="D640" s="66" t="n">
        <v>3.05807736564389</v>
      </c>
      <c r="E640" s="66" t="n">
        <v>3.2233476100104</v>
      </c>
      <c r="F640" s="66" t="n">
        <v>3.43283022880978</v>
      </c>
      <c r="G640" s="66" t="n">
        <v>5.99236017158808</v>
      </c>
    </row>
    <row r="641" customFormat="false" ht="12.75" hidden="false" customHeight="false" outlineLevel="1" collapsed="false">
      <c r="B641" s="110" t="s">
        <v>25</v>
      </c>
      <c r="C641" s="66" t="n">
        <v>2.810289845552</v>
      </c>
      <c r="D641" s="66" t="n">
        <v>3.40647388563687</v>
      </c>
      <c r="E641" s="66" t="n">
        <v>3.61045485444705</v>
      </c>
      <c r="F641" s="66" t="n">
        <v>3.84897051657917</v>
      </c>
      <c r="G641" s="66" t="n">
        <v>6.4278558215793</v>
      </c>
    </row>
    <row r="642" customFormat="false" ht="12.75" hidden="false" customHeight="false" outlineLevel="1" collapsed="false">
      <c r="B642" s="29" t="s">
        <v>26</v>
      </c>
      <c r="C642" s="108" t="n">
        <v>2.52418757393345</v>
      </c>
      <c r="D642" s="108" t="n">
        <v>3.01033227878042</v>
      </c>
      <c r="E642" s="108" t="n">
        <v>3.17029751349543</v>
      </c>
      <c r="F642" s="108" t="n">
        <v>3.37580137505618</v>
      </c>
      <c r="G642" s="108" t="n">
        <v>5.93267881300873</v>
      </c>
    </row>
    <row r="643" customFormat="false" ht="12.75" hidden="false" customHeight="false" outlineLevel="1" collapsed="false">
      <c r="B643" s="29" t="s">
        <v>27</v>
      </c>
      <c r="C643" s="108" t="n">
        <v>2.50448292161597</v>
      </c>
      <c r="D643" s="108" t="n">
        <v>2.98304891403315</v>
      </c>
      <c r="E643" s="108" t="n">
        <v>3.13998266377624</v>
      </c>
      <c r="F643" s="108" t="n">
        <v>3.34321291160805</v>
      </c>
      <c r="G643" s="108" t="n">
        <v>5.89857460707464</v>
      </c>
    </row>
    <row r="644" customFormat="false" ht="12.75" hidden="false" customHeight="false" outlineLevel="1" collapsed="false">
      <c r="B644" s="29" t="s">
        <v>28</v>
      </c>
      <c r="C644" s="108" t="n">
        <v>2.793965256752</v>
      </c>
      <c r="D644" s="108" t="n">
        <v>3.38387060883687</v>
      </c>
      <c r="E644" s="108" t="n">
        <v>3.58534010244705</v>
      </c>
      <c r="F644" s="108" t="n">
        <v>3.82197215817917</v>
      </c>
      <c r="G644" s="108" t="n">
        <v>6.3996017255793</v>
      </c>
    </row>
    <row r="645" customFormat="false" ht="12.75" hidden="false" customHeight="false" outlineLevel="1" collapsed="false">
      <c r="B645" s="110" t="s">
        <v>29</v>
      </c>
      <c r="C645" s="66" t="n">
        <v>2.3826004147568</v>
      </c>
      <c r="D645" s="66" t="n">
        <v>2.81428851992045</v>
      </c>
      <c r="E645" s="66" t="n">
        <v>2.95247111476213</v>
      </c>
      <c r="F645" s="66" t="n">
        <v>3.14163799641788</v>
      </c>
      <c r="G645" s="66" t="n">
        <v>5.68762411443377</v>
      </c>
    </row>
    <row r="646" customFormat="false" ht="12.75" hidden="false" customHeight="false" outlineLevel="1" collapsed="false">
      <c r="B646" s="110" t="s">
        <v>30</v>
      </c>
      <c r="C646" s="66" t="n">
        <v>2.18290955816101</v>
      </c>
      <c r="D646" s="66" t="n">
        <v>2.53779348771088</v>
      </c>
      <c r="E646" s="66" t="n">
        <v>2.64525441230706</v>
      </c>
      <c r="F646" s="66" t="n">
        <v>2.81138004127868</v>
      </c>
      <c r="G646" s="66" t="n">
        <v>5.34200532417182</v>
      </c>
    </row>
    <row r="647" customFormat="false" ht="12.75" hidden="false" customHeight="false" outlineLevel="1" collapsed="false">
      <c r="B647" s="110" t="s">
        <v>31</v>
      </c>
      <c r="C647" s="66" t="n">
        <v>2.23362005490297</v>
      </c>
      <c r="D647" s="66" t="n">
        <v>2.60800802166129</v>
      </c>
      <c r="E647" s="66" t="n">
        <v>2.72327056114085</v>
      </c>
      <c r="F647" s="66" t="n">
        <v>2.895247401275</v>
      </c>
      <c r="G647" s="66" t="n">
        <v>5.42977349160983</v>
      </c>
    </row>
    <row r="648" customFormat="false" ht="12.75" hidden="false" customHeight="false" outlineLevel="1" collapsed="false">
      <c r="B648" s="29" t="s">
        <v>32</v>
      </c>
      <c r="C648" s="108" t="n">
        <v>2.23171805567109</v>
      </c>
      <c r="D648" s="108" t="n">
        <v>2.6053744842633</v>
      </c>
      <c r="E648" s="108" t="n">
        <v>2.72034440847641</v>
      </c>
      <c r="F648" s="108" t="n">
        <v>2.89210178716074</v>
      </c>
      <c r="G648" s="108" t="n">
        <v>5.42648156986234</v>
      </c>
    </row>
    <row r="649" customFormat="false" ht="12.75" hidden="false" customHeight="false" outlineLevel="1" collapsed="false">
      <c r="B649" s="29" t="s">
        <v>33</v>
      </c>
      <c r="C649" s="108" t="n">
        <v>2.69369352144042</v>
      </c>
      <c r="D649" s="108" t="n">
        <v>3.24503282148238</v>
      </c>
      <c r="E649" s="108" t="n">
        <v>3.43107589427539</v>
      </c>
      <c r="F649" s="108" t="n">
        <v>3.65613813439463</v>
      </c>
      <c r="G649" s="108" t="n">
        <v>6.22605449138618</v>
      </c>
    </row>
    <row r="650" customFormat="false" ht="12.75" hidden="false" customHeight="false" outlineLevel="1" collapsed="false">
      <c r="B650" s="29" t="s">
        <v>34</v>
      </c>
      <c r="C650" s="108" t="n">
        <v>2.67396213936555</v>
      </c>
      <c r="D650" s="108" t="n">
        <v>3.19516841515097</v>
      </c>
      <c r="E650" s="108" t="n">
        <v>3.36755396906816</v>
      </c>
      <c r="F650" s="108" t="n">
        <v>3.58635120656656</v>
      </c>
      <c r="G650" s="108" t="n">
        <v>6.26464321438044</v>
      </c>
    </row>
    <row r="651" customFormat="false" ht="12" hidden="false" customHeight="true" outlineLevel="1" collapsed="false">
      <c r="B651" s="113" t="s">
        <v>390</v>
      </c>
      <c r="C651" s="113"/>
      <c r="D651" s="113"/>
      <c r="E651" s="113"/>
      <c r="F651" s="113"/>
      <c r="G651" s="113"/>
    </row>
    <row r="652" customFormat="false" ht="12.65" hidden="false" customHeight="false" outlineLevel="0" collapsed="false"/>
    <row r="653" customFormat="false" ht="15" hidden="false" customHeight="true" outlineLevel="0" collapsed="false">
      <c r="A653" s="33" t="s">
        <v>403</v>
      </c>
      <c r="C653" s="33"/>
      <c r="D653" s="33"/>
      <c r="E653" s="33"/>
      <c r="F653" s="33"/>
      <c r="G653" s="33"/>
      <c r="H653" s="33"/>
      <c r="I653" s="33"/>
      <c r="J653" s="33"/>
    </row>
    <row r="654" customFormat="false" ht="12.75" hidden="false" customHeight="false" outlineLevel="1" collapsed="false">
      <c r="B654" s="24" t="s">
        <v>301</v>
      </c>
      <c r="C654" s="107" t="s">
        <v>37</v>
      </c>
      <c r="D654" s="107" t="s">
        <v>38</v>
      </c>
      <c r="E654" s="107" t="s">
        <v>39</v>
      </c>
      <c r="F654" s="107" t="s">
        <v>40</v>
      </c>
      <c r="G654" s="107" t="s">
        <v>41</v>
      </c>
      <c r="H654" s="107" t="s">
        <v>42</v>
      </c>
      <c r="I654" s="107" t="s">
        <v>43</v>
      </c>
      <c r="J654" s="107" t="s">
        <v>44</v>
      </c>
    </row>
    <row r="655" customFormat="false" ht="30" hidden="false" customHeight="true" outlineLevel="1" collapsed="false">
      <c r="B655" s="49" t="s">
        <v>404</v>
      </c>
      <c r="C655" s="118" t="n">
        <v>1.31890671130813</v>
      </c>
      <c r="D655" s="118" t="n">
        <v>1.52821678012155</v>
      </c>
      <c r="E655" s="118" t="n">
        <v>1.71834736771227</v>
      </c>
      <c r="F655" s="118" t="n">
        <v>1.90839936593404</v>
      </c>
      <c r="G655" s="118" t="n">
        <v>2.2395658196809</v>
      </c>
      <c r="H655" s="118" t="n">
        <v>3.55809874903682</v>
      </c>
      <c r="I655" s="118" t="n">
        <v>5.48138486916906</v>
      </c>
      <c r="J655" s="118" t="n">
        <v>18.3688986690365</v>
      </c>
    </row>
    <row r="656" customFormat="false" ht="30" hidden="false" customHeight="true" outlineLevel="1" collapsed="false">
      <c r="B656" s="119" t="s">
        <v>405</v>
      </c>
      <c r="C656" s="118" t="n">
        <v>1.81556858874032</v>
      </c>
      <c r="D656" s="118" t="n">
        <v>2.11457542593032</v>
      </c>
      <c r="E656" s="118" t="n">
        <v>2.38748090606169</v>
      </c>
      <c r="F656" s="118" t="n">
        <v>2.6594877579981</v>
      </c>
      <c r="G656" s="118" t="n">
        <v>3.15859955298652</v>
      </c>
      <c r="H656" s="118" t="n">
        <v>5.14404227464917</v>
      </c>
      <c r="I656" s="118" t="n">
        <v>7.65997913532434</v>
      </c>
      <c r="J656" s="118" t="n">
        <v>23.1720738259948</v>
      </c>
    </row>
    <row r="657" customFormat="false" ht="30" hidden="false" customHeight="true" outlineLevel="1" collapsed="false">
      <c r="B657" s="120" t="s">
        <v>406</v>
      </c>
      <c r="C657" s="118" t="n">
        <v>2.04922676262275</v>
      </c>
      <c r="D657" s="118" t="n">
        <v>2.38356437378594</v>
      </c>
      <c r="E657" s="118" t="n">
        <v>2.68932853141264</v>
      </c>
      <c r="F657" s="118" t="n">
        <v>2.98994684462325</v>
      </c>
      <c r="G657" s="118" t="n">
        <v>3.51767394702138</v>
      </c>
      <c r="H657" s="118" t="n">
        <v>5.59306787226957</v>
      </c>
      <c r="I657" s="118" t="n">
        <v>8.29911051204173</v>
      </c>
      <c r="J657" s="118" t="n">
        <v>23.9780173109044</v>
      </c>
    </row>
    <row r="658" customFormat="false" ht="30" hidden="false" customHeight="true" outlineLevel="1" collapsed="false">
      <c r="B658" s="120" t="s">
        <v>407</v>
      </c>
      <c r="C658" s="118" t="n">
        <v>2.62850577467729</v>
      </c>
      <c r="D658" s="118" t="n">
        <v>3.04612591707102</v>
      </c>
      <c r="E658" s="118" t="n">
        <v>3.425271712954</v>
      </c>
      <c r="F658" s="118" t="n">
        <v>3.8041449460337</v>
      </c>
      <c r="G658" s="118" t="n">
        <v>4.46511247542068</v>
      </c>
      <c r="H658" s="118" t="n">
        <v>7.0991206564005</v>
      </c>
      <c r="I658" s="118" t="n">
        <v>10.9398852320419</v>
      </c>
      <c r="J658" s="118" t="n">
        <v>28.0739966718265</v>
      </c>
    </row>
    <row r="659" customFormat="false" ht="30" hidden="false" customHeight="true" outlineLevel="1" collapsed="false">
      <c r="B659" s="119" t="s">
        <v>408</v>
      </c>
      <c r="C659" s="118" t="n">
        <v>3.27654448032802</v>
      </c>
      <c r="D659" s="118" t="n">
        <v>3.79839477133334</v>
      </c>
      <c r="E659" s="118" t="n">
        <v>4.27484883999197</v>
      </c>
      <c r="F659" s="118" t="n">
        <v>4.75021030702132</v>
      </c>
      <c r="G659" s="118" t="n">
        <v>5.59365655788487</v>
      </c>
      <c r="H659" s="118" t="n">
        <v>8.94035811054225</v>
      </c>
      <c r="I659" s="118" t="n">
        <v>13.4989904268235</v>
      </c>
      <c r="J659" s="118" t="n">
        <v>33.3522593694877</v>
      </c>
    </row>
    <row r="660" customFormat="false" ht="30" hidden="false" customHeight="true" outlineLevel="1" collapsed="false">
      <c r="B660" s="120" t="s">
        <v>409</v>
      </c>
      <c r="C660" s="118" t="n">
        <v>4.08914587730655</v>
      </c>
      <c r="D660" s="118" t="n">
        <v>4.7568211043998</v>
      </c>
      <c r="E660" s="118" t="n">
        <v>5.36723404035473</v>
      </c>
      <c r="F660" s="118" t="n">
        <v>5.96723990341212</v>
      </c>
      <c r="G660" s="118" t="n">
        <v>7.02132873010164</v>
      </c>
      <c r="H660" s="118" t="n">
        <v>11.169058902866</v>
      </c>
      <c r="I660" s="118" t="n">
        <v>16.5753365177873</v>
      </c>
      <c r="J660" s="118" t="n">
        <v>39.2922339555623</v>
      </c>
    </row>
    <row r="661" customFormat="false" ht="12" hidden="false" customHeight="true" outlineLevel="1" collapsed="false">
      <c r="B661" s="113" t="s">
        <v>390</v>
      </c>
      <c r="C661" s="113"/>
      <c r="D661" s="113"/>
      <c r="E661" s="113"/>
      <c r="F661" s="113"/>
      <c r="G661" s="113"/>
      <c r="H661" s="113"/>
      <c r="I661" s="113"/>
      <c r="J661" s="113"/>
    </row>
    <row r="662" customFormat="false" ht="12.65" hidden="false" customHeight="false" outlineLevel="0" collapsed="false"/>
    <row r="663" customFormat="false" ht="15" hidden="false" customHeight="false" outlineLevel="0" collapsed="false">
      <c r="A663" s="33" t="s">
        <v>410</v>
      </c>
      <c r="C663" s="33"/>
      <c r="D663" s="33"/>
      <c r="E663" s="33"/>
      <c r="F663" s="33"/>
      <c r="G663" s="33"/>
      <c r="H663" s="33"/>
      <c r="I663" s="33"/>
      <c r="J663" s="33"/>
      <c r="K663" s="102"/>
    </row>
    <row r="664" customFormat="false" ht="13.5" hidden="false" customHeight="true" outlineLevel="1" collapsed="false">
      <c r="B664" s="24" t="s">
        <v>301</v>
      </c>
      <c r="C664" s="107" t="s">
        <v>37</v>
      </c>
      <c r="D664" s="107" t="s">
        <v>38</v>
      </c>
      <c r="E664" s="107" t="s">
        <v>39</v>
      </c>
      <c r="F664" s="107" t="s">
        <v>40</v>
      </c>
      <c r="G664" s="107" t="s">
        <v>41</v>
      </c>
      <c r="H664" s="107" t="s">
        <v>42</v>
      </c>
      <c r="I664" s="107" t="s">
        <v>43</v>
      </c>
      <c r="J664" s="24" t="s">
        <v>44</v>
      </c>
      <c r="K664" s="34"/>
    </row>
    <row r="665" customFormat="false" ht="30" hidden="false" customHeight="true" outlineLevel="1" collapsed="false">
      <c r="B665" s="120" t="s">
        <v>411</v>
      </c>
      <c r="C665" s="118" t="n">
        <v>9.14128673643812</v>
      </c>
      <c r="D665" s="118" t="n">
        <v>10.1629607834313</v>
      </c>
      <c r="E665" s="118" t="n">
        <v>11.12675561915</v>
      </c>
      <c r="F665" s="118" t="n">
        <v>12.0741807893117</v>
      </c>
      <c r="G665" s="118" t="n">
        <v>13.5828078141887</v>
      </c>
      <c r="H665" s="118" t="n">
        <v>19.9233909078127</v>
      </c>
      <c r="I665" s="118" t="n">
        <v>28.9191427536438</v>
      </c>
      <c r="J665" s="118" t="n">
        <v>56.0418512773783</v>
      </c>
      <c r="K665" s="121"/>
    </row>
    <row r="666" customFormat="false" ht="30" hidden="false" customHeight="true" outlineLevel="1" collapsed="false">
      <c r="B666" s="120" t="s">
        <v>412</v>
      </c>
      <c r="C666" s="118" t="n">
        <v>11.013027258149</v>
      </c>
      <c r="D666" s="118" t="n">
        <v>12.3259906822221</v>
      </c>
      <c r="E666" s="118" t="n">
        <v>13.5638093647883</v>
      </c>
      <c r="F666" s="118" t="n">
        <v>14.7837078763681</v>
      </c>
      <c r="G666" s="118" t="n">
        <v>16.7620015191846</v>
      </c>
      <c r="H666" s="118" t="n">
        <v>24.7744323945663</v>
      </c>
      <c r="I666" s="118" t="n">
        <v>36.1675459815117</v>
      </c>
      <c r="J666" s="118" t="n">
        <v>69.3700445552375</v>
      </c>
      <c r="K666" s="121"/>
    </row>
    <row r="667" customFormat="false" ht="30" hidden="false" customHeight="true" outlineLevel="1" collapsed="false">
      <c r="B667" s="120" t="s">
        <v>413</v>
      </c>
      <c r="C667" s="118" t="n">
        <v>12.7441028663515</v>
      </c>
      <c r="D667" s="118" t="n">
        <v>14.3304135877905</v>
      </c>
      <c r="E667" s="118" t="n">
        <v>15.8252637195729</v>
      </c>
      <c r="F667" s="118" t="n">
        <v>17.2963063864959</v>
      </c>
      <c r="G667" s="118" t="n">
        <v>19.6977290058449</v>
      </c>
      <c r="H667" s="118" t="n">
        <v>29.5057147371014</v>
      </c>
      <c r="I667" s="118" t="n">
        <v>43.4224783235551</v>
      </c>
      <c r="J667" s="118" t="n">
        <v>83.9490132240384</v>
      </c>
      <c r="K667" s="121"/>
    </row>
    <row r="668" customFormat="false" ht="30" hidden="false" customHeight="true" outlineLevel="1" collapsed="false">
      <c r="B668" s="120" t="s">
        <v>414</v>
      </c>
      <c r="C668" s="118" t="n">
        <v>11.5136408261847</v>
      </c>
      <c r="D668" s="118" t="n">
        <v>12.889542839124</v>
      </c>
      <c r="E668" s="118" t="n">
        <v>14.1763921996463</v>
      </c>
      <c r="F668" s="118" t="n">
        <v>15.4592255964063</v>
      </c>
      <c r="G668" s="118" t="n">
        <v>17.5852089910394</v>
      </c>
      <c r="H668" s="118" t="n">
        <v>26.0367763770851</v>
      </c>
      <c r="I668" s="118" t="n">
        <v>38.2844207908431</v>
      </c>
      <c r="J668" s="118" t="n">
        <v>73.4669116177178</v>
      </c>
      <c r="K668" s="121"/>
    </row>
    <row r="669" customFormat="false" ht="30" hidden="false" customHeight="true" outlineLevel="1" collapsed="false">
      <c r="B669" s="120" t="s">
        <v>415</v>
      </c>
      <c r="C669" s="118" t="n">
        <v>14.0334200535464</v>
      </c>
      <c r="D669" s="118" t="n">
        <v>15.7827967889748</v>
      </c>
      <c r="E669" s="118" t="n">
        <v>17.5071126787271</v>
      </c>
      <c r="F669" s="118" t="n">
        <v>19.1368628476526</v>
      </c>
      <c r="G669" s="118" t="n">
        <v>21.8929467784995</v>
      </c>
      <c r="H669" s="118" t="n">
        <v>32.9448317902737</v>
      </c>
      <c r="I669" s="118" t="n">
        <v>48.5871253064724</v>
      </c>
      <c r="J669" s="118" t="n">
        <v>94.0585032584786</v>
      </c>
      <c r="K669" s="121"/>
    </row>
    <row r="670" customFormat="false" ht="30" hidden="false" customHeight="true" outlineLevel="1" collapsed="false">
      <c r="B670" s="120" t="s">
        <v>416</v>
      </c>
      <c r="C670" s="118" t="n">
        <v>16.4948157130635</v>
      </c>
      <c r="D670" s="118" t="n">
        <v>18.7087016978146</v>
      </c>
      <c r="E670" s="118" t="n">
        <v>20.6954585908075</v>
      </c>
      <c r="F670" s="118" t="n">
        <v>22.7530536396719</v>
      </c>
      <c r="G670" s="118" t="n">
        <v>26.1067823925003</v>
      </c>
      <c r="H670" s="118" t="n">
        <v>39.5393963901529</v>
      </c>
      <c r="I670" s="118" t="n">
        <v>58.4672972529044</v>
      </c>
      <c r="J670" s="118" t="n">
        <v>113.254022736527</v>
      </c>
      <c r="K670" s="121"/>
    </row>
    <row r="671" customFormat="false" ht="12.65" hidden="false" customHeight="false" outlineLevel="1" collapsed="false">
      <c r="B671" s="122" t="s">
        <v>390</v>
      </c>
      <c r="C671" s="122"/>
      <c r="D671" s="122"/>
      <c r="E671" s="122"/>
      <c r="F671" s="122"/>
      <c r="G671" s="122"/>
      <c r="H671" s="122"/>
      <c r="I671" s="122"/>
      <c r="J671" s="122"/>
      <c r="K671" s="102"/>
    </row>
    <row r="672" customFormat="false" ht="12.65" hidden="false" customHeight="false" outlineLevel="0" collapsed="false">
      <c r="B672" s="123"/>
      <c r="C672" s="123"/>
      <c r="D672" s="123"/>
      <c r="E672" s="123"/>
      <c r="F672" s="123"/>
      <c r="G672" s="123"/>
      <c r="H672" s="123"/>
      <c r="I672" s="123"/>
      <c r="J672" s="123"/>
      <c r="K672" s="102"/>
    </row>
    <row r="673" customFormat="false" ht="15" hidden="false" customHeight="true" outlineLevel="0" collapsed="false">
      <c r="A673" s="33" t="s">
        <v>417</v>
      </c>
      <c r="C673" s="46"/>
      <c r="D673" s="46"/>
      <c r="E673" s="46"/>
      <c r="F673" s="46"/>
      <c r="G673" s="46"/>
      <c r="H673" s="123"/>
      <c r="I673" s="123"/>
      <c r="J673" s="123"/>
      <c r="K673" s="124"/>
    </row>
    <row r="674" customFormat="false" ht="12.75" hidden="false" customHeight="false" outlineLevel="0" collapsed="false">
      <c r="B674" s="125" t="s">
        <v>301</v>
      </c>
      <c r="C674" s="126" t="s">
        <v>399</v>
      </c>
      <c r="D674" s="126" t="s">
        <v>400</v>
      </c>
      <c r="E674" s="126" t="s">
        <v>43</v>
      </c>
      <c r="F674" s="126" t="s">
        <v>401</v>
      </c>
      <c r="G674" s="126" t="s">
        <v>402</v>
      </c>
      <c r="H674" s="123"/>
      <c r="I674" s="123"/>
      <c r="J674" s="123"/>
      <c r="K674" s="124"/>
    </row>
    <row r="675" customFormat="false" ht="12.75" hidden="false" customHeight="false" outlineLevel="0" collapsed="false">
      <c r="B675" s="127" t="s">
        <v>418</v>
      </c>
      <c r="C675" s="128" t="n">
        <v>128.653232875355</v>
      </c>
      <c r="D675" s="128" t="n">
        <v>383.844324094481</v>
      </c>
      <c r="E675" s="128" t="n">
        <v>517.882146686592</v>
      </c>
      <c r="F675" s="128" t="n">
        <v>623.266259714536</v>
      </c>
      <c r="G675" s="128" t="n">
        <v>776.446298749716</v>
      </c>
      <c r="H675" s="123"/>
      <c r="I675" s="123"/>
      <c r="J675" s="123"/>
      <c r="K675" s="124"/>
    </row>
    <row r="676" customFormat="false" ht="12.75" hidden="false" customHeight="false" outlineLevel="0" collapsed="false">
      <c r="B676" s="127" t="s">
        <v>419</v>
      </c>
      <c r="C676" s="128" t="n">
        <v>171.922257385003</v>
      </c>
      <c r="D676" s="128" t="n">
        <v>498.651469126749</v>
      </c>
      <c r="E676" s="128" t="n">
        <v>670.189112960555</v>
      </c>
      <c r="F676" s="128" t="n">
        <v>810.957672698611</v>
      </c>
      <c r="G676" s="128" t="n">
        <v>987.11067914678</v>
      </c>
    </row>
    <row r="677" customFormat="false" ht="12.75" hidden="false" customHeight="true" outlineLevel="0" collapsed="false">
      <c r="B677" s="122" t="s">
        <v>390</v>
      </c>
      <c r="C677" s="122"/>
      <c r="D677" s="122"/>
      <c r="E677" s="122"/>
      <c r="F677" s="122"/>
      <c r="G677" s="122"/>
    </row>
  </sheetData>
  <mergeCells count="5">
    <mergeCell ref="B398:B399"/>
    <mergeCell ref="C398:J399"/>
    <mergeCell ref="B400:B402"/>
    <mergeCell ref="C400:J402"/>
    <mergeCell ref="C403:J403"/>
  </mergeCells>
  <printOptions headings="false" gridLines="false" gridLinesSet="true" horizontalCentered="false" verticalCentered="false"/>
  <pageMargins left="0.2" right="0.2" top="0.25" bottom="0.5" header="0.511811023622047" footer="0.3"/>
  <pageSetup paperSize="3" scale="100" fitToWidth="1" fitToHeight="1" pageOrder="downThenOver" orientation="landscape" blackAndWhite="false" draft="false" cellComments="none" horizontalDpi="300" verticalDpi="300" copies="1"/>
  <headerFooter differentFirst="false" differentOddEven="false">
    <oddHeader/>
    <oddFooter>&amp;CPage &amp;P of &amp;N</oddFooter>
  </headerFooter>
  <rowBreaks count="15" manualBreakCount="15">
    <brk id="84" man="true" max="16383" min="0"/>
    <brk id="115" man="true" max="16383" min="0"/>
    <brk id="161" man="true" max="16383" min="0"/>
    <brk id="207" man="true" max="16383" min="0"/>
    <brk id="253" man="true" max="16383" min="0"/>
    <brk id="285" man="true" max="16383" min="0"/>
    <brk id="328" man="true" max="16383" min="0"/>
    <brk id="369" man="true" max="16383" min="0"/>
    <brk id="404" man="true" max="16383" min="0"/>
    <brk id="445" man="true" max="16383" min="0"/>
    <brk id="491" man="true" max="16383" min="0"/>
    <brk id="524" man="true" max="16383" min="0"/>
    <brk id="571" man="true" max="16383" min="0"/>
    <brk id="607" man="true" max="16383" min="0"/>
    <brk id="652"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2CA"/>
    <pageSetUpPr fitToPage="false"/>
  </sheetPr>
  <dimension ref="A1:L8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6" activeCellId="0" sqref="B26"/>
    </sheetView>
  </sheetViews>
  <sheetFormatPr defaultColWidth="8.453125" defaultRowHeight="12.8" customHeight="true" zeroHeight="false" outlineLevelRow="0" outlineLevelCol="0"/>
  <cols>
    <col collapsed="false" customWidth="true" hidden="false" outlineLevel="0" max="1" min="1" style="0" width="35.82"/>
    <col collapsed="false" customWidth="true" hidden="false" outlineLevel="0" max="2" min="2" style="0" width="43.45"/>
    <col collapsed="false" customWidth="true" hidden="false" outlineLevel="0" max="3" min="3" style="0" width="2.54"/>
    <col collapsed="false" customWidth="true" hidden="false" outlineLevel="0" max="5" min="4" style="0" width="8.82"/>
    <col collapsed="false" customWidth="true" hidden="false" outlineLevel="0" max="6" min="6" style="0" width="17.82"/>
    <col collapsed="false" customWidth="true" hidden="false" outlineLevel="0" max="7" min="7" style="0" width="10.18"/>
  </cols>
  <sheetData>
    <row r="1" customFormat="false" ht="15" hidden="false" customHeight="false" outlineLevel="0" collapsed="false">
      <c r="A1" s="129" t="s">
        <v>420</v>
      </c>
      <c r="B1" s="129"/>
    </row>
    <row r="2" customFormat="false" ht="15" hidden="false" customHeight="false" outlineLevel="0" collapsed="false">
      <c r="A2" s="129" t="s">
        <v>421</v>
      </c>
      <c r="B2" s="129"/>
    </row>
    <row r="3" customFormat="false" ht="14.25" hidden="false" customHeight="false" outlineLevel="0" collapsed="false">
      <c r="A3" s="129" t="s">
        <v>422</v>
      </c>
      <c r="B3" s="129"/>
    </row>
    <row r="4" customFormat="false" ht="15" hidden="false" customHeight="false" outlineLevel="0" collapsed="false">
      <c r="A4" s="129" t="s">
        <v>423</v>
      </c>
      <c r="B4" s="129"/>
    </row>
    <row r="5" customFormat="false" ht="15" hidden="false" customHeight="false" outlineLevel="0" collapsed="false">
      <c r="A5" s="129" t="s">
        <v>424</v>
      </c>
      <c r="B5" s="129"/>
    </row>
    <row r="6" customFormat="false" ht="13.8" hidden="false" customHeight="false" outlineLevel="0" collapsed="false"/>
    <row r="7" customFormat="false" ht="13.8" hidden="false" customHeight="false" outlineLevel="0" collapsed="false">
      <c r="A7" s="130" t="s">
        <v>425</v>
      </c>
      <c r="B7" s="131"/>
    </row>
    <row r="8" customFormat="false" ht="13.8" hidden="false" customHeight="false" outlineLevel="0" collapsed="false"/>
    <row r="9" customFormat="false" ht="13.8" hidden="false" customHeight="false" outlineLevel="0" collapsed="false">
      <c r="A9" s="132"/>
      <c r="B9" s="133" t="s">
        <v>426</v>
      </c>
      <c r="D9" s="0" t="s">
        <v>427</v>
      </c>
    </row>
    <row r="10" customFormat="false" ht="19.5" hidden="false" customHeight="true" outlineLevel="0" collapsed="false">
      <c r="A10" s="134" t="s">
        <v>428</v>
      </c>
      <c r="B10" s="135" t="s">
        <v>21</v>
      </c>
      <c r="D10" s="0" t="s">
        <v>429</v>
      </c>
    </row>
    <row r="11" customFormat="false" ht="19.5" hidden="false" customHeight="true" outlineLevel="0" collapsed="false">
      <c r="A11" s="134" t="s">
        <v>430</v>
      </c>
      <c r="B11" s="136" t="s">
        <v>431</v>
      </c>
      <c r="D11" s="0" t="s">
        <v>429</v>
      </c>
    </row>
    <row r="12" customFormat="false" ht="19.5" hidden="false" customHeight="true" outlineLevel="0" collapsed="false">
      <c r="A12" s="134" t="s">
        <v>432</v>
      </c>
      <c r="B12" s="136" t="s">
        <v>433</v>
      </c>
      <c r="D12" s="0" t="s">
        <v>429</v>
      </c>
    </row>
    <row r="13" customFormat="false" ht="19.5" hidden="false" customHeight="true" outlineLevel="0" collapsed="false">
      <c r="A13" s="134" t="s">
        <v>434</v>
      </c>
      <c r="B13" s="136" t="s">
        <v>435</v>
      </c>
      <c r="D13" s="0" t="s">
        <v>429</v>
      </c>
    </row>
    <row r="14" customFormat="false" ht="19.5" hidden="false" customHeight="true" outlineLevel="0" collapsed="false">
      <c r="A14" s="137" t="s">
        <v>436</v>
      </c>
      <c r="B14" s="136" t="s">
        <v>42</v>
      </c>
      <c r="D14" s="0" t="s">
        <v>429</v>
      </c>
    </row>
    <row r="15" customFormat="false" ht="19.5" hidden="false" customHeight="true" outlineLevel="0" collapsed="false">
      <c r="A15" s="137" t="s">
        <v>437</v>
      </c>
      <c r="B15" s="136" t="n">
        <v>100</v>
      </c>
      <c r="D15" s="0" t="s">
        <v>438</v>
      </c>
    </row>
    <row r="16" customFormat="false" ht="13.8" hidden="false" customHeight="false" outlineLevel="0" collapsed="false">
      <c r="A16" s="138" t="s">
        <v>439</v>
      </c>
      <c r="B16" s="139" t="n">
        <f aca="false">IFERROR(INDEX('Exploratory cost data'!G2:R91,MATCH(CONCATENATE(B10,B11,B12,B13),'Exploratory cost data'!E2:E91,0),MATCH('Exploratory cost estimate'!B14,'Exploratory cost data'!G1:R1,0))*B15,"0")</f>
        <v>370.49868012625</v>
      </c>
      <c r="D16" s="140" t="s">
        <v>440</v>
      </c>
    </row>
    <row r="17" customFormat="false" ht="13.8" hidden="false" customHeight="false" outlineLevel="0" collapsed="false">
      <c r="A17" s="141"/>
      <c r="B17" s="142"/>
      <c r="D17" s="140"/>
    </row>
    <row r="18" customFormat="false" ht="13.8" hidden="false" customHeight="false" outlineLevel="0" collapsed="false">
      <c r="A18" s="141" t="s">
        <v>441</v>
      </c>
      <c r="B18" s="143" t="n">
        <f aca="false">B16*0.715564</f>
        <v>265.11551754586</v>
      </c>
      <c r="D18" s="140" t="s">
        <v>442</v>
      </c>
    </row>
    <row r="19" customFormat="false" ht="13.8" hidden="false" customHeight="false" outlineLevel="0" collapsed="false">
      <c r="A19" s="141" t="s">
        <v>443</v>
      </c>
      <c r="B19" s="143" t="n">
        <f aca="false">B18*0.3</f>
        <v>79.534655263758</v>
      </c>
      <c r="D19" s="144" t="n">
        <f aca="false">B19/B18</f>
        <v>0.3</v>
      </c>
    </row>
    <row r="20" customFormat="false" ht="13.8" hidden="false" customHeight="false" outlineLevel="0" collapsed="false">
      <c r="A20" s="141" t="s">
        <v>444</v>
      </c>
      <c r="B20" s="143" t="n">
        <f aca="false">(B18+B19)*0.075</f>
        <v>25.8487629607214</v>
      </c>
      <c r="D20" s="144" t="n">
        <f aca="false">B20/(B19+B18)</f>
        <v>0.075</v>
      </c>
    </row>
    <row r="21" customFormat="false" ht="13.8" hidden="false" customHeight="false" outlineLevel="0" collapsed="false">
      <c r="A21" s="145" t="s">
        <v>445</v>
      </c>
      <c r="B21" s="146" t="n">
        <f aca="false">SUM(B18:B20)</f>
        <v>370.498935770339</v>
      </c>
    </row>
    <row r="22" customFormat="false" ht="13.8" hidden="false" customHeight="false" outlineLevel="0" collapsed="false">
      <c r="A22" s="141"/>
      <c r="B22" s="143"/>
    </row>
    <row r="23" customFormat="false" ht="13.8" hidden="false" customHeight="false" outlineLevel="0" collapsed="false"/>
    <row r="24" customFormat="false" ht="13.8" hidden="false" customHeight="false" outlineLevel="0" collapsed="false">
      <c r="A24" s="132"/>
      <c r="B24" s="147" t="s">
        <v>446</v>
      </c>
      <c r="D24" s="0" t="s">
        <v>427</v>
      </c>
    </row>
    <row r="25" customFormat="false" ht="19.5" hidden="false" customHeight="true" outlineLevel="0" collapsed="false">
      <c r="A25" s="134" t="s">
        <v>447</v>
      </c>
      <c r="B25" s="135" t="s">
        <v>448</v>
      </c>
      <c r="D25" s="0" t="s">
        <v>429</v>
      </c>
    </row>
    <row r="26" customFormat="false" ht="19.5" hidden="false" customHeight="true" outlineLevel="0" collapsed="false">
      <c r="A26" s="137" t="s">
        <v>436</v>
      </c>
      <c r="B26" s="136" t="s">
        <v>41</v>
      </c>
      <c r="D26" s="0" t="s">
        <v>429</v>
      </c>
    </row>
    <row r="27" customFormat="false" ht="19.5" hidden="false" customHeight="true" outlineLevel="0" collapsed="false">
      <c r="A27" s="138" t="s">
        <v>439</v>
      </c>
      <c r="B27" s="148" t="n">
        <f aca="false">IFERROR(INDEX('Exploratory cost data'!$G$92:$R$111,MATCH('Exploratory cost estimate'!B25,'Exploratory cost data'!$D$92:$D$111,0),MATCH('Exploratory cost estimate'!B26,'Exploratory cost data'!$G$1:$R$1,0)),"0")</f>
        <v>13.5828078141887</v>
      </c>
      <c r="D27" s="140" t="s">
        <v>440</v>
      </c>
    </row>
    <row r="28" customFormat="false" ht="13.8" hidden="false" customHeight="false" outlineLevel="0" collapsed="false"/>
    <row r="29" customFormat="false" ht="13.8" hidden="false" customHeight="false" outlineLevel="0" collapsed="false">
      <c r="A29" s="141" t="s">
        <v>441</v>
      </c>
      <c r="B29" s="143" t="n">
        <f aca="false">B27*0.715564</f>
        <v>9.71936829075213</v>
      </c>
    </row>
    <row r="30" customFormat="false" ht="13.8" hidden="false" customHeight="false" outlineLevel="0" collapsed="false">
      <c r="A30" s="141" t="s">
        <v>443</v>
      </c>
      <c r="B30" s="143" t="n">
        <f aca="false">B29*0.3</f>
        <v>2.91581048722564</v>
      </c>
      <c r="D30" s="144" t="n">
        <f aca="false">B30/B29</f>
        <v>0.3</v>
      </c>
    </row>
    <row r="31" customFormat="false" ht="13.8" hidden="false" customHeight="false" outlineLevel="0" collapsed="false">
      <c r="A31" s="141" t="s">
        <v>444</v>
      </c>
      <c r="B31" s="143" t="n">
        <f aca="false">(B29+B30)*0.075</f>
        <v>0.947638408348333</v>
      </c>
      <c r="D31" s="144" t="n">
        <f aca="false">B31/(B30+B29)</f>
        <v>0.075</v>
      </c>
    </row>
    <row r="32" customFormat="false" ht="13.8" hidden="false" customHeight="false" outlineLevel="0" collapsed="false">
      <c r="A32" s="138" t="s">
        <v>439</v>
      </c>
      <c r="B32" s="146" t="n">
        <f aca="false">SUM(B29:B31)</f>
        <v>13.5828171863261</v>
      </c>
    </row>
    <row r="33" customFormat="false" ht="13.8" hidden="false" customHeight="false" outlineLevel="0" collapsed="false">
      <c r="B33" s="149"/>
    </row>
    <row r="34" customFormat="false" ht="13.8" hidden="false" customHeight="false" outlineLevel="0" collapsed="false">
      <c r="B34" s="149"/>
    </row>
    <row r="35" customFormat="false" ht="13.8" hidden="false" customHeight="false" outlineLevel="0" collapsed="false">
      <c r="A35" s="132"/>
      <c r="B35" s="147" t="s">
        <v>449</v>
      </c>
      <c r="D35" s="0" t="s">
        <v>427</v>
      </c>
    </row>
    <row r="36" customFormat="false" ht="19.5" hidden="false" customHeight="true" outlineLevel="0" collapsed="false">
      <c r="A36" s="134" t="s">
        <v>447</v>
      </c>
      <c r="B36" s="135" t="s">
        <v>450</v>
      </c>
      <c r="D36" s="0" t="s">
        <v>429</v>
      </c>
    </row>
    <row r="37" customFormat="false" ht="19.5" hidden="false" customHeight="true" outlineLevel="0" collapsed="false">
      <c r="A37" s="137" t="s">
        <v>436</v>
      </c>
      <c r="B37" s="136" t="s">
        <v>40</v>
      </c>
      <c r="D37" s="0" t="s">
        <v>429</v>
      </c>
    </row>
    <row r="38" customFormat="false" ht="19.5" hidden="false" customHeight="true" outlineLevel="0" collapsed="false">
      <c r="A38" s="138" t="s">
        <v>439</v>
      </c>
      <c r="B38" s="148" t="n">
        <f aca="false">IFERROR(INDEX('Exploratory cost data'!$G$92:$R$111,MATCH('Exploratory cost estimate'!B36,'Exploratory cost data'!$D$92:$D$111,0),MATCH('Exploratory cost estimate'!B37,'Exploratory cost data'!$G$1:$R$1,0)),"0")</f>
        <v>2.6594877579981</v>
      </c>
      <c r="D38" s="140" t="s">
        <v>440</v>
      </c>
    </row>
    <row r="39" customFormat="false" ht="13.8" hidden="false" customHeight="false" outlineLevel="0" collapsed="false"/>
    <row r="40" customFormat="false" ht="13.8" hidden="false" customHeight="false" outlineLevel="0" collapsed="false">
      <c r="A40" s="141" t="s">
        <v>441</v>
      </c>
      <c r="B40" s="143" t="n">
        <f aca="false">B38*0.715564</f>
        <v>1.90303369806415</v>
      </c>
    </row>
    <row r="41" customFormat="false" ht="13.8" hidden="false" customHeight="false" outlineLevel="0" collapsed="false">
      <c r="A41" s="141" t="s">
        <v>443</v>
      </c>
      <c r="B41" s="143" t="n">
        <f aca="false">B40*0.3</f>
        <v>0.570910109419246</v>
      </c>
      <c r="D41" s="144" t="n">
        <f aca="false">B41/B40</f>
        <v>0.3</v>
      </c>
    </row>
    <row r="42" customFormat="false" ht="13.8" hidden="false" customHeight="false" outlineLevel="0" collapsed="false">
      <c r="A42" s="141" t="s">
        <v>444</v>
      </c>
      <c r="B42" s="143" t="n">
        <f aca="false">(B40+B41)*0.075</f>
        <v>0.185545785561255</v>
      </c>
      <c r="D42" s="144" t="n">
        <f aca="false">B42/(B41+B40)</f>
        <v>0.075</v>
      </c>
    </row>
    <row r="43" customFormat="false" ht="13.8" hidden="false" customHeight="false" outlineLevel="0" collapsed="false">
      <c r="A43" s="138" t="s">
        <v>439</v>
      </c>
      <c r="B43" s="146" t="n">
        <f aca="false">SUM(B40:B42)</f>
        <v>2.65948959304465</v>
      </c>
    </row>
    <row r="44" customFormat="false" ht="13.8" hidden="false" customHeight="false" outlineLevel="0" collapsed="false">
      <c r="A44" s="145"/>
      <c r="B44" s="143"/>
    </row>
    <row r="45" customFormat="false" ht="13.8" hidden="false" customHeight="false" outlineLevel="0" collapsed="false">
      <c r="A45" s="145"/>
      <c r="B45" s="143"/>
    </row>
    <row r="46" customFormat="false" ht="13.8" hidden="false" customHeight="false" outlineLevel="0" collapsed="false">
      <c r="A46" s="145"/>
      <c r="B46" s="147" t="s">
        <v>451</v>
      </c>
    </row>
    <row r="47" customFormat="false" ht="13.8" hidden="false" customHeight="false" outlineLevel="0" collapsed="false">
      <c r="A47" s="137" t="s">
        <v>452</v>
      </c>
      <c r="B47" s="136" t="s">
        <v>42</v>
      </c>
      <c r="D47" s="0" t="s">
        <v>429</v>
      </c>
    </row>
    <row r="48" customFormat="false" ht="13.8" hidden="false" customHeight="false" outlineLevel="0" collapsed="false">
      <c r="A48" s="137" t="s">
        <v>453</v>
      </c>
      <c r="B48" s="136" t="s">
        <v>40</v>
      </c>
      <c r="D48" s="0" t="s">
        <v>429</v>
      </c>
    </row>
    <row r="49" customFormat="false" ht="13.8" hidden="false" customHeight="false" outlineLevel="0" collapsed="false">
      <c r="A49" s="137" t="s">
        <v>454</v>
      </c>
      <c r="B49" s="150" t="n">
        <v>400</v>
      </c>
      <c r="D49" s="0" t="s">
        <v>455</v>
      </c>
    </row>
    <row r="50" customFormat="false" ht="13.8" hidden="false" customHeight="false" outlineLevel="0" collapsed="false">
      <c r="A50" s="138" t="s">
        <v>439</v>
      </c>
      <c r="B50" s="151" t="n">
        <f aca="false">IFERROR(B49*INDEX('Exploratory cost data'!$F$92:$S$124,MATCH('Exploratory cost estimate'!B47,'Exploratory cost data'!$E$92:$E$124,0),MATCH('Exploratory cost estimate'!B48,'Exploratory cost data'!$F$1:$S$1,0))/1000000+
HLOOKUP(B47,'Exploratory cost data'!$G$1:$N$112,112,FALSE())+
HLOOKUP(B48,'Exploratory cost data'!$G$1:$N$112,112,FALSE()),"0")</f>
        <v>12.6111994226082</v>
      </c>
      <c r="D50" s="140" t="s">
        <v>440</v>
      </c>
    </row>
    <row r="51" customFormat="false" ht="13.8" hidden="false" customHeight="false" outlineLevel="0" collapsed="false">
      <c r="A51" s="145"/>
      <c r="B51" s="143"/>
    </row>
    <row r="52" customFormat="false" ht="13.8" hidden="false" customHeight="false" outlineLevel="0" collapsed="false">
      <c r="A52" s="141" t="s">
        <v>441</v>
      </c>
      <c r="B52" s="143" t="n">
        <f aca="false">B50*0.715564</f>
        <v>9.0241203036392</v>
      </c>
    </row>
    <row r="53" customFormat="false" ht="13.8" hidden="false" customHeight="false" outlineLevel="0" collapsed="false">
      <c r="A53" s="141" t="s">
        <v>443</v>
      </c>
      <c r="B53" s="143" t="n">
        <f aca="false">B52*0.3</f>
        <v>2.70723609109176</v>
      </c>
      <c r="D53" s="144" t="n">
        <f aca="false">B53/B52</f>
        <v>0.3</v>
      </c>
    </row>
    <row r="54" customFormat="false" ht="13.8" hidden="false" customHeight="false" outlineLevel="0" collapsed="false">
      <c r="A54" s="141" t="s">
        <v>444</v>
      </c>
      <c r="B54" s="143" t="n">
        <f aca="false">(B52+B53)*0.075</f>
        <v>0.879851729604822</v>
      </c>
      <c r="D54" s="144" t="n">
        <f aca="false">B54/(B53+B52)</f>
        <v>0.075</v>
      </c>
    </row>
    <row r="55" customFormat="false" ht="13.8" hidden="false" customHeight="false" outlineLevel="0" collapsed="false">
      <c r="A55" s="138" t="s">
        <v>439</v>
      </c>
      <c r="B55" s="146" t="n">
        <f aca="false">SUM(B52:B54)</f>
        <v>12.6112081243358</v>
      </c>
    </row>
    <row r="56" customFormat="false" ht="13.8" hidden="false" customHeight="false" outlineLevel="0" collapsed="false">
      <c r="A56" s="145"/>
      <c r="B56" s="143"/>
    </row>
    <row r="57" customFormat="false" ht="13.8" hidden="false" customHeight="false" outlineLevel="0" collapsed="false"/>
    <row r="58" customFormat="false" ht="6" hidden="false" customHeight="true" outlineLevel="0" collapsed="false">
      <c r="A58" s="152"/>
      <c r="B58" s="152"/>
      <c r="C58" s="152"/>
      <c r="D58" s="152"/>
      <c r="E58" s="152"/>
      <c r="F58" s="152"/>
      <c r="G58" s="152"/>
      <c r="H58" s="152"/>
      <c r="I58" s="152"/>
      <c r="J58" s="152"/>
      <c r="K58" s="152"/>
      <c r="L58" s="152"/>
    </row>
    <row r="59" customFormat="false" ht="13.8" hidden="false" customHeight="false" outlineLevel="0" collapsed="false"/>
    <row r="60" customFormat="false" ht="13.8" hidden="false" customHeight="false" outlineLevel="0" collapsed="false">
      <c r="B60" s="153" t="s">
        <v>456</v>
      </c>
    </row>
    <row r="61" customFormat="false" ht="13.8" hidden="false" customHeight="false" outlineLevel="0" collapsed="false">
      <c r="A61" s="154" t="s">
        <v>457</v>
      </c>
      <c r="B61" s="155" t="n">
        <f aca="false">(B18+B29+B40+B52)*1000000</f>
        <v>285762039.838316</v>
      </c>
    </row>
    <row r="62" customFormat="false" ht="13.8" hidden="false" customHeight="false" outlineLevel="0" collapsed="false">
      <c r="A62" s="154" t="s">
        <v>458</v>
      </c>
      <c r="B62" s="156" t="n">
        <f aca="false">D62*B61</f>
        <v>28576203.9838316</v>
      </c>
      <c r="D62" s="157" t="n">
        <v>0.1</v>
      </c>
      <c r="E62" s="158" t="s">
        <v>459</v>
      </c>
    </row>
    <row r="63" customFormat="false" ht="13.8" hidden="false" customHeight="false" outlineLevel="0" collapsed="false">
      <c r="A63" s="154" t="s">
        <v>460</v>
      </c>
      <c r="B63" s="159" t="n">
        <v>2000</v>
      </c>
    </row>
    <row r="64" customFormat="false" ht="13.8" hidden="false" customHeight="false" outlineLevel="0" collapsed="false">
      <c r="A64" s="154" t="s">
        <v>460</v>
      </c>
      <c r="B64" s="159" t="n">
        <v>3000</v>
      </c>
    </row>
    <row r="65" customFormat="false" ht="13.8" hidden="false" customHeight="false" outlineLevel="0" collapsed="false">
      <c r="A65" s="154" t="s">
        <v>460</v>
      </c>
      <c r="B65" s="159" t="n">
        <v>4000</v>
      </c>
    </row>
    <row r="66" customFormat="false" ht="13.8" hidden="false" customHeight="false" outlineLevel="0" collapsed="false">
      <c r="A66" s="154" t="s">
        <v>461</v>
      </c>
      <c r="B66" s="160" t="n">
        <f aca="false">SUM(B61:B65)</f>
        <v>314347243.822147</v>
      </c>
    </row>
    <row r="67" customFormat="false" ht="13.8" hidden="false" customHeight="false" outlineLevel="0" collapsed="false">
      <c r="A67" s="141" t="s">
        <v>443</v>
      </c>
      <c r="B67" s="155" t="n">
        <f aca="false">B66*D67</f>
        <v>94304173.1466442</v>
      </c>
      <c r="D67" s="144" t="n">
        <v>0.3</v>
      </c>
    </row>
    <row r="68" customFormat="false" ht="13.8" hidden="false" customHeight="false" outlineLevel="0" collapsed="false">
      <c r="A68" s="141" t="s">
        <v>444</v>
      </c>
      <c r="B68" s="155" t="n">
        <f aca="false">SUM(B66:B67)*D68</f>
        <v>30648856.2726594</v>
      </c>
      <c r="D68" s="144" t="n">
        <v>0.075</v>
      </c>
    </row>
    <row r="69" customFormat="false" ht="13.8" hidden="false" customHeight="false" outlineLevel="0" collapsed="false">
      <c r="A69" s="138" t="s">
        <v>439</v>
      </c>
      <c r="B69" s="161" t="n">
        <f aca="false">SUM(B66:B68)</f>
        <v>439300273.241451</v>
      </c>
    </row>
    <row r="70" customFormat="false" ht="13.8" hidden="false" customHeight="false" outlineLevel="0" collapsed="false"/>
    <row r="71" customFormat="false" ht="13.8" hidden="false" customHeight="false" outlineLevel="0" collapsed="false"/>
    <row r="72" customFormat="false" ht="13.8" hidden="false" customHeight="false" outlineLevel="0" collapsed="false"/>
    <row r="73" customFormat="false" ht="13.8" hidden="false" customHeight="false" outlineLevel="0" collapsed="false"/>
    <row r="74" customFormat="false" ht="13.8" hidden="false" customHeight="false" outlineLevel="0" collapsed="false"/>
    <row r="75" customFormat="false" ht="13.8" hidden="false" customHeight="false" outlineLevel="0" collapsed="false"/>
    <row r="76" customFormat="false" ht="13.8" hidden="false" customHeight="false" outlineLevel="0" collapsed="false">
      <c r="B76" s="162" t="n">
        <f aca="false">IFERROR(B49*INDEX('Exploratory cost data'!$F$92:$R$124,MATCH('Exploratory cost estimate'!B47,'Exploratory cost data'!$E$92:$E$124,0),MATCH('Exploratory cost estimate'!B48,'Exploratory cost data'!$F$1:$R$1,0))/1000000,"0")</f>
        <v>4.80766938996092</v>
      </c>
      <c r="E76" s="0" t="n">
        <v>4807669.38996092</v>
      </c>
      <c r="F76" s="163" t="n">
        <f aca="false">'Exploratory cost data'!J118</f>
        <v>12019.1734749023</v>
      </c>
    </row>
    <row r="77" customFormat="false" ht="13.8" hidden="false" customHeight="false" outlineLevel="0" collapsed="false">
      <c r="F77" s="0" t="n">
        <v>400</v>
      </c>
    </row>
    <row r="78" customFormat="false" ht="13.8" hidden="false" customHeight="false" outlineLevel="0" collapsed="false">
      <c r="B78" s="162" t="n">
        <f aca="false">IFERROR(HLOOKUP(B47,'Exploratory cost data'!$G$1:$N$112,112,FALSE()),"0")</f>
        <v>5.14404227464917</v>
      </c>
      <c r="F78" s="164" t="n">
        <f aca="false">F76*F77</f>
        <v>4807669.38996092</v>
      </c>
    </row>
    <row r="79" customFormat="false" ht="13.8" hidden="false" customHeight="false" outlineLevel="0" collapsed="false"/>
    <row r="80" customFormat="false" ht="13.8" hidden="false" customHeight="false" outlineLevel="0" collapsed="false">
      <c r="B80" s="162" t="n">
        <f aca="false">IFERROR(HLOOKUP(B48,'Exploratory cost data'!$G$1:$N$112,112,FALSE()),"0")</f>
        <v>2.6594877579981</v>
      </c>
    </row>
    <row r="81" customFormat="false" ht="13.8" hidden="false" customHeight="false" outlineLevel="0" collapsed="false"/>
  </sheetData>
  <mergeCells count="5">
    <mergeCell ref="A1:B1"/>
    <mergeCell ref="A2:B2"/>
    <mergeCell ref="A3:B3"/>
    <mergeCell ref="A4:B4"/>
    <mergeCell ref="A5:B5"/>
  </mergeCells>
  <dataValidations count="7">
    <dataValidation allowBlank="true" errorStyle="stop" operator="equal" showDropDown="false" showErrorMessage="true" showInputMessage="true" sqref="B10" type="list">
      <formula1>'Exploratory cost data'!$A$2:$A$16</formula1>
      <formula2>0</formula2>
    </dataValidation>
    <dataValidation allowBlank="true" errorStyle="stop" operator="equal" showDropDown="false" showErrorMessage="true" showInputMessage="true" sqref="B11" type="list">
      <formula1>'Exploratory cost data'!$B$76:$B$77</formula1>
      <formula2>0</formula2>
    </dataValidation>
    <dataValidation allowBlank="true" errorStyle="stop" operator="equal" showDropDown="false" showErrorMessage="true" showInputMessage="true" sqref="B12" type="list">
      <formula1>'Exploratory cost data'!$A$129:$A$131</formula1>
      <formula2>0</formula2>
    </dataValidation>
    <dataValidation allowBlank="true" errorStyle="stop" operator="equal" showDropDown="false" showErrorMessage="true" showInputMessage="true" sqref="B13" type="list">
      <formula1>'Exploratory cost data'!$D$16:$D$17</formula1>
      <formula2>0</formula2>
    </dataValidation>
    <dataValidation allowBlank="true" errorStyle="stop" operator="equal" showDropDown="false" showErrorMessage="true" showInputMessage="true" sqref="B14" type="list">
      <formula1>'Exploratory cost data'!$G$1:$S$1</formula1>
      <formula2>0</formula2>
    </dataValidation>
    <dataValidation allowBlank="true" errorStyle="stop" operator="equal" showDropDown="false" showErrorMessage="true" showInputMessage="true" sqref="B25 B36" type="list">
      <formula1>'Exploratory cost data'!$D$92:$D$111</formula1>
      <formula2>0</formula2>
    </dataValidation>
    <dataValidation allowBlank="true" errorStyle="stop" operator="equal" showDropDown="false" showErrorMessage="true" showInputMessage="true" sqref="B26 B37 B47:B48" type="list">
      <formula1>'Exploratory cost data'!$G$1:$R$1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1B6BB"/>
    <pageSetUpPr fitToPage="false"/>
  </sheetPr>
  <dimension ref="A1:H14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11" topLeftCell="A12" activePane="bottomLeft" state="frozen"/>
      <selection pane="topLeft" activeCell="A1" activeCellId="0" sqref="A1"/>
      <selection pane="bottomLeft" activeCell="A12" activeCellId="0" sqref="A12"/>
    </sheetView>
  </sheetViews>
  <sheetFormatPr defaultColWidth="9.18359375" defaultRowHeight="12" customHeight="true" zeroHeight="false" outlineLevelRow="1" outlineLevelCol="0"/>
  <cols>
    <col collapsed="false" customWidth="true" hidden="false" outlineLevel="0" max="1" min="1" style="165" width="32"/>
    <col collapsed="false" customWidth="true" hidden="false" outlineLevel="0" max="2" min="2" style="165" width="24.45"/>
    <col collapsed="false" customWidth="true" hidden="false" outlineLevel="0" max="3" min="3" style="132" width="33.45"/>
    <col collapsed="false" customWidth="true" hidden="false" outlineLevel="0" max="5" min="4" style="165" width="25.54"/>
    <col collapsed="false" customWidth="true" hidden="false" outlineLevel="0" max="6" min="6" style="165" width="18.18"/>
    <col collapsed="false" customWidth="false" hidden="false" outlineLevel="0" max="7" min="7" style="165" width="9.18"/>
    <col collapsed="false" customWidth="true" hidden="false" outlineLevel="0" max="8" min="8" style="165" width="17.18"/>
    <col collapsed="false" customWidth="false" hidden="false" outlineLevel="0" max="16384" min="9" style="165" width="9.18"/>
  </cols>
  <sheetData>
    <row r="1" customFormat="false" ht="24.75" hidden="false" customHeight="true" outlineLevel="0" collapsed="false">
      <c r="F1" s="166" t="s">
        <v>21</v>
      </c>
    </row>
    <row r="2" customFormat="false" ht="19.5" hidden="false" customHeight="true" outlineLevel="0" collapsed="false">
      <c r="E2" s="167" t="s">
        <v>462</v>
      </c>
      <c r="F2" s="136" t="s">
        <v>431</v>
      </c>
    </row>
    <row r="3" customFormat="false" ht="19.5" hidden="false" customHeight="true" outlineLevel="0" collapsed="false">
      <c r="E3" s="168" t="s">
        <v>463</v>
      </c>
      <c r="F3" s="136" t="s">
        <v>42</v>
      </c>
    </row>
    <row r="4" customFormat="false" ht="19.5" hidden="false" customHeight="true" outlineLevel="0" collapsed="false">
      <c r="E4" s="168" t="s">
        <v>464</v>
      </c>
      <c r="F4" s="136" t="s">
        <v>435</v>
      </c>
    </row>
    <row r="5" customFormat="false" ht="19.5" hidden="false" customHeight="true" outlineLevel="0" collapsed="false">
      <c r="E5" s="168" t="s">
        <v>465</v>
      </c>
      <c r="F5" s="136" t="s">
        <v>466</v>
      </c>
    </row>
    <row r="6" customFormat="false" ht="19.5" hidden="false" customHeight="true" outlineLevel="0" collapsed="false">
      <c r="E6" s="168" t="s">
        <v>437</v>
      </c>
      <c r="F6" s="136" t="n">
        <v>1</v>
      </c>
    </row>
    <row r="7" customFormat="false" ht="19.5" hidden="false" customHeight="true" outlineLevel="0" collapsed="false">
      <c r="E7" s="168" t="s">
        <v>467</v>
      </c>
      <c r="F7" s="136" t="s">
        <v>468</v>
      </c>
    </row>
    <row r="8" customFormat="false" ht="19.5" hidden="false" customHeight="true" outlineLevel="0" collapsed="false">
      <c r="E8" s="168" t="s">
        <v>469</v>
      </c>
      <c r="F8" s="136" t="s">
        <v>84</v>
      </c>
    </row>
    <row r="9" customFormat="false" ht="19.5" hidden="false" customHeight="true" outlineLevel="0" collapsed="false">
      <c r="E9" s="168" t="s">
        <v>470</v>
      </c>
      <c r="F9" s="136" t="n">
        <v>2</v>
      </c>
    </row>
    <row r="10" customFormat="false" ht="19.5" hidden="false" customHeight="true" outlineLevel="0" collapsed="false">
      <c r="E10" s="168" t="s">
        <v>471</v>
      </c>
      <c r="F10" s="136" t="n">
        <v>1</v>
      </c>
    </row>
    <row r="11" customFormat="false" ht="19.5" hidden="false" customHeight="true" outlineLevel="0" collapsed="false">
      <c r="E11" s="168" t="s">
        <v>472</v>
      </c>
      <c r="F11" s="136" t="n">
        <v>1</v>
      </c>
    </row>
    <row r="12" customFormat="false" ht="12.65" hidden="false" customHeight="false" outlineLevel="0" collapsed="false">
      <c r="A12" s="169"/>
      <c r="B12" s="169"/>
      <c r="C12" s="170"/>
      <c r="D12" s="169"/>
      <c r="E12" s="169"/>
      <c r="F12" s="169"/>
    </row>
    <row r="13" customFormat="false" ht="12.65" hidden="false" customHeight="false" outlineLevel="1" collapsed="false">
      <c r="A13" s="171"/>
      <c r="B13" s="171"/>
      <c r="C13" s="172"/>
      <c r="D13" s="171"/>
      <c r="E13" s="171"/>
      <c r="F13" s="171"/>
    </row>
    <row r="14" customFormat="false" ht="12.65" hidden="false" customHeight="false" outlineLevel="1" collapsed="false">
      <c r="A14" s="173" t="s">
        <v>473</v>
      </c>
      <c r="B14" s="174"/>
      <c r="C14" s="175"/>
      <c r="D14" s="174"/>
      <c r="E14" s="174"/>
    </row>
    <row r="15" customFormat="false" ht="12.65" hidden="false" customHeight="false" outlineLevel="1" collapsed="false">
      <c r="A15" s="176"/>
      <c r="B15" s="177" t="s">
        <v>474</v>
      </c>
      <c r="C15" s="177" t="s">
        <v>475</v>
      </c>
      <c r="D15" s="177" t="s">
        <v>476</v>
      </c>
      <c r="E15" s="177" t="s">
        <v>477</v>
      </c>
    </row>
    <row r="16" customFormat="false" ht="12.65" hidden="false" customHeight="false" outlineLevel="1" collapsed="false">
      <c r="A16" s="165" t="s">
        <v>478</v>
      </c>
      <c r="B16" s="132" t="n">
        <v>175</v>
      </c>
      <c r="C16" s="178" t="n">
        <v>0.25</v>
      </c>
      <c r="D16" s="179" t="n">
        <f aca="false">B16*5280*$F$6*C16/43560</f>
        <v>5.3030303030303</v>
      </c>
      <c r="E16" s="180" t="n">
        <v>22032.8604640625</v>
      </c>
      <c r="F16" s="180" t="n">
        <f aca="false">D16*E16</f>
        <v>116840.926703362</v>
      </c>
    </row>
    <row r="17" customFormat="false" ht="12.65" hidden="false" customHeight="false" outlineLevel="1" collapsed="false">
      <c r="A17" s="165" t="s">
        <v>479</v>
      </c>
      <c r="B17" s="132" t="n">
        <v>175</v>
      </c>
      <c r="C17" s="178" t="n">
        <v>0.65</v>
      </c>
      <c r="D17" s="179" t="n">
        <f aca="false">B17*5280*$F$6*C17/43560</f>
        <v>13.7878787878788</v>
      </c>
      <c r="E17" s="180" t="n">
        <v>30290.4604640625</v>
      </c>
      <c r="F17" s="180" t="n">
        <f aca="false">D17*E17</f>
        <v>417641.197307528</v>
      </c>
    </row>
    <row r="18" customFormat="false" ht="12.65" hidden="false" customHeight="false" outlineLevel="1" collapsed="false">
      <c r="A18" s="165" t="s">
        <v>480</v>
      </c>
      <c r="B18" s="132" t="n">
        <v>175</v>
      </c>
      <c r="C18" s="178" t="n">
        <v>0.1</v>
      </c>
      <c r="D18" s="179" t="n">
        <f aca="false">B18*5280*$F$6*C18/43560</f>
        <v>2.12121212121212</v>
      </c>
      <c r="E18" s="180" t="n">
        <v>38548.0604640625</v>
      </c>
      <c r="F18" s="180" t="n">
        <f aca="false">D18*E18</f>
        <v>81768.6131055871</v>
      </c>
    </row>
    <row r="19" customFormat="false" ht="12.65" hidden="false" customHeight="false" outlineLevel="1" collapsed="false">
      <c r="A19" s="132"/>
      <c r="B19" s="132"/>
      <c r="D19" s="179"/>
      <c r="F19" s="181" t="n">
        <f aca="false">SUM(F16:F18)</f>
        <v>616250.737116477</v>
      </c>
    </row>
    <row r="20" customFormat="false" ht="12.65" hidden="false" customHeight="false" outlineLevel="1" collapsed="false">
      <c r="A20" s="132"/>
      <c r="B20" s="132"/>
      <c r="D20" s="179"/>
      <c r="F20" s="182"/>
    </row>
    <row r="21" customFormat="false" ht="12.65" hidden="false" customHeight="false" outlineLevel="1" collapsed="false">
      <c r="A21" s="171"/>
      <c r="B21" s="171"/>
      <c r="C21" s="172"/>
      <c r="D21" s="171"/>
      <c r="E21" s="171"/>
      <c r="F21" s="171"/>
    </row>
    <row r="22" customFormat="false" ht="13" hidden="false" customHeight="false" outlineLevel="1" collapsed="false">
      <c r="A22" s="183" t="s">
        <v>481</v>
      </c>
      <c r="B22" s="174"/>
      <c r="C22" s="175"/>
      <c r="D22" s="174"/>
      <c r="E22" s="174"/>
      <c r="F22" s="184" t="s">
        <v>482</v>
      </c>
    </row>
    <row r="23" customFormat="false" ht="12.65" hidden="false" customHeight="false" outlineLevel="1" collapsed="false">
      <c r="A23" s="177" t="s">
        <v>483</v>
      </c>
      <c r="B23" s="177" t="s">
        <v>484</v>
      </c>
      <c r="C23" s="177" t="s">
        <v>485</v>
      </c>
      <c r="D23" s="177" t="s">
        <v>486</v>
      </c>
      <c r="E23" s="185" t="s">
        <v>487</v>
      </c>
      <c r="F23" s="186" t="n">
        <v>2.75030091</v>
      </c>
    </row>
    <row r="24" customFormat="false" ht="12.65" hidden="false" customHeight="false" outlineLevel="1" collapsed="false">
      <c r="A24" s="165" t="s">
        <v>488</v>
      </c>
      <c r="B24" s="179" t="n">
        <v>4.5</v>
      </c>
      <c r="C24" s="179" t="n">
        <v>4.5</v>
      </c>
      <c r="D24" s="187" t="n">
        <v>22300</v>
      </c>
      <c r="E24" s="187" t="n">
        <f aca="false">C24*D24</f>
        <v>100350</v>
      </c>
      <c r="F24" s="180" t="n">
        <f aca="false">E24*F$23</f>
        <v>275992.6963185</v>
      </c>
    </row>
    <row r="25" customFormat="false" ht="12.65" hidden="false" customHeight="false" outlineLevel="1" collapsed="false">
      <c r="A25" s="165" t="s">
        <v>489</v>
      </c>
      <c r="B25" s="179" t="n">
        <v>1</v>
      </c>
      <c r="C25" s="179" t="n">
        <v>1</v>
      </c>
      <c r="D25" s="187" t="n">
        <v>37900</v>
      </c>
      <c r="E25" s="187" t="n">
        <f aca="false">C25*D25</f>
        <v>37900</v>
      </c>
      <c r="F25" s="180" t="n">
        <f aca="false">E25*F$23</f>
        <v>104236.404489</v>
      </c>
    </row>
    <row r="26" customFormat="false" ht="12.65" hidden="false" customHeight="false" outlineLevel="1" collapsed="false">
      <c r="A26" s="165" t="s">
        <v>490</v>
      </c>
      <c r="B26" s="179" t="n">
        <v>0.25</v>
      </c>
      <c r="C26" s="179" t="n">
        <v>0.25</v>
      </c>
      <c r="D26" s="187" t="n">
        <v>42400</v>
      </c>
      <c r="E26" s="187" t="n">
        <f aca="false">C26*D26</f>
        <v>10600</v>
      </c>
      <c r="F26" s="180" t="n">
        <f aca="false">E26*F$23</f>
        <v>29153.189646</v>
      </c>
    </row>
    <row r="27" customFormat="false" ht="12.65" hidden="false" customHeight="false" outlineLevel="1" collapsed="false">
      <c r="A27" s="165" t="s">
        <v>491</v>
      </c>
      <c r="B27" s="179" t="n">
        <v>0.25</v>
      </c>
      <c r="C27" s="179" t="n">
        <v>0.25</v>
      </c>
      <c r="D27" s="187" t="n">
        <v>48100</v>
      </c>
      <c r="E27" s="187" t="n">
        <f aca="false">C27*D27</f>
        <v>12025</v>
      </c>
      <c r="F27" s="180" t="n">
        <f aca="false">E27*F$23</f>
        <v>33072.36844275</v>
      </c>
    </row>
    <row r="28" customFormat="false" ht="12.65" hidden="false" customHeight="false" outlineLevel="1" collapsed="false">
      <c r="C28" s="188"/>
      <c r="F28" s="181" t="n">
        <f aca="false">SUM(F24:F27)</f>
        <v>442454.65889625</v>
      </c>
    </row>
    <row r="29" customFormat="false" ht="12.65" hidden="false" customHeight="false" outlineLevel="1" collapsed="false">
      <c r="B29" s="179"/>
      <c r="C29" s="179"/>
      <c r="D29" s="187"/>
      <c r="E29" s="187"/>
      <c r="F29" s="182"/>
    </row>
    <row r="30" customFormat="false" ht="12.65" hidden="false" customHeight="false" outlineLevel="1" collapsed="false">
      <c r="B30" s="179"/>
      <c r="C30" s="187"/>
      <c r="D30" s="187"/>
      <c r="E30" s="187"/>
    </row>
    <row r="31" customFormat="false" ht="12.65" hidden="false" customHeight="false" outlineLevel="1" collapsed="false">
      <c r="A31" s="189" t="s">
        <v>492</v>
      </c>
      <c r="B31" s="190"/>
      <c r="C31" s="191"/>
      <c r="D31" s="190"/>
      <c r="E31" s="190"/>
      <c r="F31" s="192" t="s">
        <v>493</v>
      </c>
    </row>
    <row r="32" customFormat="false" ht="12.65" hidden="false" customHeight="false" outlineLevel="1" collapsed="false">
      <c r="A32" s="177" t="s">
        <v>483</v>
      </c>
      <c r="B32" s="177" t="s">
        <v>47</v>
      </c>
      <c r="C32" s="177" t="s">
        <v>494</v>
      </c>
      <c r="D32" s="177" t="s">
        <v>495</v>
      </c>
      <c r="F32" s="193" t="n">
        <v>1617.840417375</v>
      </c>
    </row>
    <row r="33" customFormat="false" ht="12.65" hidden="false" customHeight="false" outlineLevel="1" collapsed="false">
      <c r="A33" s="165" t="s">
        <v>488</v>
      </c>
      <c r="B33" s="194" t="n">
        <v>21</v>
      </c>
      <c r="C33" s="195" t="n">
        <v>4.5</v>
      </c>
      <c r="D33" s="179" t="n">
        <f aca="false">B33*C33</f>
        <v>94.5</v>
      </c>
      <c r="F33" s="180" t="n">
        <f aca="false">D33*F$32</f>
        <v>152885.919441938</v>
      </c>
    </row>
    <row r="34" customFormat="false" ht="12.65" hidden="false" customHeight="false" outlineLevel="1" collapsed="false">
      <c r="A34" s="165" t="s">
        <v>489</v>
      </c>
      <c r="B34" s="194" t="n">
        <v>30</v>
      </c>
      <c r="C34" s="195" t="n">
        <v>1</v>
      </c>
      <c r="D34" s="179" t="n">
        <f aca="false">B34*C34</f>
        <v>30</v>
      </c>
      <c r="E34" s="187"/>
      <c r="F34" s="180" t="n">
        <f aca="false">D34*F$32</f>
        <v>48535.21252125</v>
      </c>
    </row>
    <row r="35" customFormat="false" ht="12.65" hidden="false" customHeight="false" outlineLevel="1" collapsed="false">
      <c r="A35" s="165" t="s">
        <v>490</v>
      </c>
      <c r="B35" s="194" t="n">
        <v>33.5</v>
      </c>
      <c r="C35" s="195" t="n">
        <v>0.25</v>
      </c>
      <c r="D35" s="179" t="n">
        <f aca="false">B35*C35</f>
        <v>8.375</v>
      </c>
      <c r="E35" s="187"/>
      <c r="F35" s="180" t="n">
        <f aca="false">D35*F$32</f>
        <v>13549.4134955156</v>
      </c>
    </row>
    <row r="36" customFormat="false" ht="12.65" hidden="false" customHeight="false" outlineLevel="1" collapsed="false">
      <c r="A36" s="165" t="s">
        <v>491</v>
      </c>
      <c r="B36" s="194" t="n">
        <v>41.5</v>
      </c>
      <c r="C36" s="195" t="n">
        <v>0.25</v>
      </c>
      <c r="D36" s="179" t="n">
        <f aca="false">B36*C36</f>
        <v>10.375</v>
      </c>
      <c r="E36" s="187"/>
      <c r="F36" s="180" t="n">
        <f aca="false">D36*F$32</f>
        <v>16785.0943302656</v>
      </c>
    </row>
    <row r="37" customFormat="false" ht="12.65" hidden="false" customHeight="false" outlineLevel="1" collapsed="false">
      <c r="B37" s="196"/>
      <c r="C37" s="188"/>
      <c r="D37" s="179"/>
      <c r="F37" s="197" t="n">
        <f aca="false">SUM(F33:F36)</f>
        <v>231755.639788969</v>
      </c>
    </row>
    <row r="38" customFormat="false" ht="12.65" hidden="false" customHeight="false" outlineLevel="1" collapsed="false">
      <c r="B38" s="196"/>
      <c r="C38" s="188"/>
      <c r="D38" s="179"/>
      <c r="F38" s="182"/>
    </row>
    <row r="39" customFormat="false" ht="12.65" hidden="false" customHeight="false" outlineLevel="1" collapsed="false"/>
    <row r="40" customFormat="false" ht="12.65" hidden="false" customHeight="false" outlineLevel="1" collapsed="false">
      <c r="A40" s="198" t="s">
        <v>496</v>
      </c>
      <c r="B40" s="199"/>
      <c r="C40" s="200"/>
      <c r="D40" s="199"/>
      <c r="E40" s="199"/>
      <c r="F40" s="171"/>
    </row>
    <row r="41" customFormat="false" ht="12.65" hidden="false" customHeight="false" outlineLevel="1" collapsed="false">
      <c r="A41" s="177" t="s">
        <v>483</v>
      </c>
      <c r="B41" s="196"/>
      <c r="C41" s="177" t="s">
        <v>485</v>
      </c>
      <c r="D41" s="177" t="s">
        <v>497</v>
      </c>
    </row>
    <row r="42" customFormat="false" ht="12.65" hidden="false" customHeight="false" outlineLevel="1" collapsed="false">
      <c r="A42" s="165" t="s">
        <v>488</v>
      </c>
      <c r="B42" s="196"/>
      <c r="C42" s="195" t="n">
        <v>4.5</v>
      </c>
      <c r="D42" s="187" t="n">
        <v>11091.181476375</v>
      </c>
      <c r="F42" s="180" t="n">
        <f aca="false">C42*D42</f>
        <v>49910.3166436875</v>
      </c>
    </row>
    <row r="43" customFormat="false" ht="12.65" hidden="false" customHeight="false" outlineLevel="1" collapsed="false">
      <c r="A43" s="165" t="s">
        <v>489</v>
      </c>
      <c r="B43" s="196"/>
      <c r="C43" s="195" t="n">
        <v>1</v>
      </c>
      <c r="D43" s="187" t="n">
        <v>11091.181476375</v>
      </c>
      <c r="E43" s="187"/>
      <c r="F43" s="180" t="n">
        <f aca="false">C43*D43</f>
        <v>11091.181476375</v>
      </c>
    </row>
    <row r="44" customFormat="false" ht="12.65" hidden="false" customHeight="false" outlineLevel="1" collapsed="false">
      <c r="A44" s="165" t="s">
        <v>490</v>
      </c>
      <c r="B44" s="196"/>
      <c r="C44" s="195" t="n">
        <v>0.25</v>
      </c>
      <c r="D44" s="187" t="n">
        <v>39865.370761125</v>
      </c>
      <c r="E44" s="187"/>
      <c r="F44" s="180" t="n">
        <f aca="false">C44*D44</f>
        <v>9966.34269028125</v>
      </c>
    </row>
    <row r="45" customFormat="false" ht="12.65" hidden="false" customHeight="false" outlineLevel="1" collapsed="false">
      <c r="A45" s="165" t="s">
        <v>491</v>
      </c>
      <c r="B45" s="196"/>
      <c r="C45" s="195" t="n">
        <v>0.25</v>
      </c>
      <c r="D45" s="187" t="n">
        <v>39865.370761125</v>
      </c>
      <c r="E45" s="187"/>
      <c r="F45" s="180" t="n">
        <f aca="false">C45*D45</f>
        <v>9966.34269028125</v>
      </c>
    </row>
    <row r="46" s="165" customFormat="true" ht="12.65" hidden="false" customHeight="false" outlineLevel="1" collapsed="false">
      <c r="B46" s="196"/>
      <c r="E46" s="201" t="s">
        <v>498</v>
      </c>
      <c r="F46" s="197" t="n">
        <f aca="false">SUM(F42:F45)</f>
        <v>80934.183500625</v>
      </c>
    </row>
    <row r="47" customFormat="false" ht="12.65" hidden="false" customHeight="false" outlineLevel="1" collapsed="false">
      <c r="A47" s="132"/>
      <c r="B47" s="132"/>
      <c r="D47" s="132"/>
      <c r="F47" s="182"/>
    </row>
    <row r="48" customFormat="false" ht="12.65" hidden="false" customHeight="false" outlineLevel="1" collapsed="false">
      <c r="A48" s="171"/>
      <c r="B48" s="171"/>
      <c r="C48" s="172"/>
      <c r="D48" s="171"/>
      <c r="E48" s="171"/>
      <c r="F48" s="171"/>
    </row>
    <row r="49" customFormat="false" ht="12.65" hidden="false" customHeight="false" outlineLevel="1" collapsed="false">
      <c r="A49" s="202" t="s">
        <v>499</v>
      </c>
      <c r="B49" s="174"/>
      <c r="C49" s="175"/>
      <c r="D49" s="174"/>
      <c r="E49" s="174"/>
    </row>
    <row r="50" customFormat="false" ht="12.65" hidden="false" customHeight="false" outlineLevel="1" collapsed="false">
      <c r="A50" s="177" t="s">
        <v>483</v>
      </c>
      <c r="B50" s="177" t="s">
        <v>500</v>
      </c>
      <c r="C50" s="177" t="s">
        <v>501</v>
      </c>
      <c r="D50" s="177" t="s">
        <v>497</v>
      </c>
    </row>
    <row r="51" customFormat="false" ht="12.65" hidden="false" customHeight="false" outlineLevel="1" collapsed="false">
      <c r="A51" s="165" t="s">
        <v>488</v>
      </c>
      <c r="B51" s="203" t="s">
        <v>502</v>
      </c>
      <c r="C51" s="130" t="n">
        <v>4.5</v>
      </c>
      <c r="D51" s="187" t="n">
        <v>79412.992808625</v>
      </c>
      <c r="F51" s="180" t="n">
        <f aca="false">C51*D51</f>
        <v>357358.467638813</v>
      </c>
    </row>
    <row r="52" customFormat="false" ht="12.65" hidden="false" customHeight="false" outlineLevel="1" collapsed="false">
      <c r="A52" s="165" t="s">
        <v>489</v>
      </c>
      <c r="B52" s="203" t="s">
        <v>502</v>
      </c>
      <c r="C52" s="130" t="n">
        <v>1</v>
      </c>
      <c r="D52" s="187" t="n">
        <v>134966.476567125</v>
      </c>
      <c r="F52" s="180" t="n">
        <f aca="false">C52*D52</f>
        <v>134966.476567125</v>
      </c>
    </row>
    <row r="53" customFormat="false" ht="12.65" hidden="false" customHeight="false" outlineLevel="1" collapsed="false">
      <c r="A53" s="165" t="s">
        <v>490</v>
      </c>
      <c r="B53" s="203" t="s">
        <v>502</v>
      </c>
      <c r="C53" s="130" t="n">
        <v>0.25</v>
      </c>
      <c r="D53" s="187" t="n">
        <v>150991.519959</v>
      </c>
      <c r="F53" s="180" t="n">
        <f aca="false">C53*D53</f>
        <v>37747.87998975</v>
      </c>
    </row>
    <row r="54" customFormat="false" ht="12.65" hidden="false" customHeight="false" outlineLevel="1" collapsed="false">
      <c r="A54" s="165" t="s">
        <v>491</v>
      </c>
      <c r="B54" s="203" t="s">
        <v>502</v>
      </c>
      <c r="C54" s="130" t="n">
        <v>0.25</v>
      </c>
      <c r="D54" s="187" t="n">
        <v>171289.908255375</v>
      </c>
      <c r="F54" s="180" t="n">
        <f aca="false">C54*D54</f>
        <v>42822.4770638438</v>
      </c>
    </row>
    <row r="55" customFormat="false" ht="12.65" hidden="false" customHeight="false" outlineLevel="1" collapsed="false">
      <c r="B55" s="203"/>
      <c r="C55" s="204" t="n">
        <f aca="false">SUM(C51:C54)</f>
        <v>6</v>
      </c>
      <c r="D55" s="187"/>
      <c r="F55" s="180"/>
    </row>
    <row r="56" customFormat="false" ht="12.65" hidden="false" customHeight="false" outlineLevel="1" collapsed="false">
      <c r="B56" s="203"/>
      <c r="C56" s="130"/>
      <c r="D56" s="187"/>
      <c r="F56" s="180"/>
    </row>
    <row r="57" customFormat="false" ht="12.65" hidden="false" customHeight="false" outlineLevel="1" collapsed="false">
      <c r="A57" s="132" t="s">
        <v>258</v>
      </c>
      <c r="B57" s="203" t="s">
        <v>503</v>
      </c>
      <c r="C57" s="205" t="n">
        <v>175</v>
      </c>
      <c r="D57" s="187"/>
      <c r="F57" s="180"/>
    </row>
    <row r="58" customFormat="false" ht="12.65" hidden="false" customHeight="false" outlineLevel="1" collapsed="false">
      <c r="A58" s="132" t="s">
        <v>258</v>
      </c>
      <c r="B58" s="203" t="s">
        <v>504</v>
      </c>
      <c r="C58" s="206" t="n">
        <v>0.4</v>
      </c>
    </row>
    <row r="59" customFormat="false" ht="12.65" hidden="false" customHeight="false" outlineLevel="1" collapsed="false">
      <c r="A59" s="130" t="s">
        <v>505</v>
      </c>
      <c r="B59" s="203" t="s">
        <v>506</v>
      </c>
      <c r="C59" s="207" t="n">
        <v>1</v>
      </c>
    </row>
    <row r="60" customFormat="false" ht="12.65" hidden="false" customHeight="false" outlineLevel="1" collapsed="false">
      <c r="A60" s="165" t="s">
        <v>507</v>
      </c>
      <c r="B60" s="203" t="s">
        <v>508</v>
      </c>
      <c r="C60" s="130" t="n">
        <f aca="false">(C57*5280)*(C59/43560)*C58</f>
        <v>8.48484848484848</v>
      </c>
      <c r="D60" s="208" t="n">
        <v>5485.8217325625</v>
      </c>
      <c r="F60" s="180" t="n">
        <f aca="false">C60*D60</f>
        <v>46546.3662156818</v>
      </c>
      <c r="H60" s="179"/>
    </row>
    <row r="61" customFormat="false" ht="12.65" hidden="false" customHeight="false" outlineLevel="1" collapsed="false">
      <c r="B61" s="203"/>
      <c r="C61" s="130"/>
      <c r="D61" s="208"/>
      <c r="F61" s="180"/>
    </row>
    <row r="62" customFormat="false" ht="12.65" hidden="false" customHeight="false" outlineLevel="1" collapsed="false">
      <c r="A62" s="130" t="s">
        <v>259</v>
      </c>
      <c r="B62" s="203" t="s">
        <v>503</v>
      </c>
      <c r="C62" s="205" t="n">
        <v>175</v>
      </c>
      <c r="D62" s="208"/>
      <c r="F62" s="180"/>
    </row>
    <row r="63" customFormat="false" ht="12.65" hidden="false" customHeight="false" outlineLevel="1" collapsed="false">
      <c r="A63" s="130" t="s">
        <v>259</v>
      </c>
      <c r="B63" s="203" t="s">
        <v>509</v>
      </c>
      <c r="C63" s="206" t="n">
        <v>0.05</v>
      </c>
      <c r="D63" s="208"/>
      <c r="F63" s="180"/>
    </row>
    <row r="64" customFormat="false" ht="12.65" hidden="false" customHeight="false" outlineLevel="1" collapsed="false">
      <c r="A64" s="130" t="s">
        <v>505</v>
      </c>
      <c r="B64" s="203" t="s">
        <v>506</v>
      </c>
      <c r="C64" s="207" t="n">
        <v>1</v>
      </c>
      <c r="D64" s="208"/>
      <c r="F64" s="180"/>
    </row>
    <row r="65" customFormat="false" ht="12.65" hidden="false" customHeight="false" outlineLevel="1" collapsed="false">
      <c r="A65" s="165" t="s">
        <v>510</v>
      </c>
      <c r="B65" s="203" t="s">
        <v>508</v>
      </c>
      <c r="C65" s="130" t="n">
        <f aca="false">(C62*5280)*(C64/43560)*C63</f>
        <v>1.06060606060606</v>
      </c>
      <c r="D65" s="208" t="n">
        <v>64027.0434091641</v>
      </c>
      <c r="F65" s="180" t="n">
        <f aca="false">C65*D65</f>
        <v>67907.4702824468</v>
      </c>
    </row>
    <row r="66" customFormat="false" ht="12.65" hidden="false" customHeight="false" outlineLevel="1" collapsed="false">
      <c r="A66" s="165" t="s">
        <v>72</v>
      </c>
      <c r="B66" s="203" t="s">
        <v>508</v>
      </c>
      <c r="C66" s="209" t="n">
        <f aca="false">C65</f>
        <v>1.06060606060606</v>
      </c>
      <c r="D66" s="208" t="n">
        <v>51360.6880139063</v>
      </c>
      <c r="F66" s="180" t="n">
        <f aca="false">C66*D66</f>
        <v>54473.456984446</v>
      </c>
    </row>
    <row r="67" customFormat="false" ht="12.65" hidden="false" customHeight="false" outlineLevel="1" collapsed="false">
      <c r="A67" s="210" t="s">
        <v>511</v>
      </c>
      <c r="B67" s="203" t="s">
        <v>508</v>
      </c>
      <c r="D67" s="208" t="n">
        <v>7131.78022380469</v>
      </c>
      <c r="F67" s="180" t="n">
        <f aca="false">C67*D67</f>
        <v>0</v>
      </c>
    </row>
    <row r="68" customFormat="false" ht="12.65" hidden="false" customHeight="false" outlineLevel="1" collapsed="false">
      <c r="F68" s="197" t="n">
        <f aca="false">SUM(F51:F67)</f>
        <v>741822.594742106</v>
      </c>
    </row>
    <row r="69" s="165" customFormat="true" ht="12.65" hidden="false" customHeight="false" outlineLevel="1" collapsed="false">
      <c r="F69" s="182"/>
    </row>
    <row r="70" customFormat="false" ht="12.65" hidden="false" customHeight="false" outlineLevel="1" collapsed="false">
      <c r="A70" s="171"/>
      <c r="B70" s="171"/>
      <c r="C70" s="172"/>
      <c r="D70" s="171"/>
      <c r="E70" s="171"/>
      <c r="F70" s="171"/>
    </row>
    <row r="71" customFormat="false" ht="12.65" hidden="false" customHeight="false" outlineLevel="1" collapsed="false">
      <c r="A71" s="202" t="s">
        <v>512</v>
      </c>
      <c r="B71" s="174"/>
      <c r="C71" s="175"/>
      <c r="D71" s="174"/>
      <c r="E71" s="174"/>
    </row>
    <row r="72" customFormat="false" ht="12.65" hidden="false" customHeight="false" outlineLevel="1" collapsed="false">
      <c r="D72" s="177" t="s">
        <v>513</v>
      </c>
      <c r="E72" s="177" t="s">
        <v>514</v>
      </c>
    </row>
    <row r="73" customFormat="false" ht="12.65" hidden="false" customHeight="false" outlineLevel="1" collapsed="false">
      <c r="D73" s="165" t="s">
        <v>515</v>
      </c>
      <c r="E73" s="203" t="s">
        <v>516</v>
      </c>
      <c r="F73" s="180" t="n">
        <v>1951.59008145938</v>
      </c>
    </row>
    <row r="74" customFormat="false" ht="12.65" hidden="false" customHeight="false" outlineLevel="1" collapsed="false">
      <c r="D74" s="165" t="s">
        <v>470</v>
      </c>
      <c r="F74" s="187" t="n">
        <f aca="false">F9</f>
        <v>2</v>
      </c>
    </row>
    <row r="75" customFormat="false" ht="12.65" hidden="false" customHeight="false" outlineLevel="1" collapsed="false">
      <c r="D75" s="165" t="s">
        <v>464</v>
      </c>
      <c r="E75" s="203" t="str">
        <f aca="false">$F$4</f>
        <v>Single</v>
      </c>
      <c r="F75" s="187" t="n">
        <f aca="false">IF($E$75="Single",1,2)</f>
        <v>1</v>
      </c>
    </row>
    <row r="76" customFormat="false" ht="12.65" hidden="false" customHeight="false" outlineLevel="1" collapsed="false">
      <c r="D76" s="165" t="s">
        <v>437</v>
      </c>
      <c r="F76" s="194" t="n">
        <v>1</v>
      </c>
    </row>
    <row r="77" customFormat="false" ht="12.65" hidden="false" customHeight="false" outlineLevel="1" collapsed="false">
      <c r="E77" s="165" t="s">
        <v>517</v>
      </c>
      <c r="F77" s="179" t="n">
        <v>1.04</v>
      </c>
    </row>
    <row r="78" customFormat="false" ht="12.65" hidden="false" customHeight="false" outlineLevel="1" collapsed="false">
      <c r="E78" s="165" t="s">
        <v>518</v>
      </c>
      <c r="F78" s="130" t="n">
        <v>5.28</v>
      </c>
    </row>
    <row r="79" customFormat="false" ht="12.65" hidden="false" customHeight="false" outlineLevel="1" collapsed="false">
      <c r="E79" s="165" t="s">
        <v>519</v>
      </c>
      <c r="F79" s="130" t="n">
        <v>3</v>
      </c>
    </row>
    <row r="80" customFormat="false" ht="12.65" hidden="false" customHeight="false" outlineLevel="1" collapsed="false">
      <c r="E80" s="132" t="s">
        <v>520</v>
      </c>
      <c r="F80" s="211" t="n">
        <f aca="false">F73*F74*F75*F76*F77*F78*F79</f>
        <v>64299.4287318583</v>
      </c>
    </row>
    <row r="81" customFormat="false" ht="12.65" hidden="false" customHeight="false" outlineLevel="1" collapsed="false">
      <c r="D81" s="177" t="s">
        <v>521</v>
      </c>
      <c r="E81" s="177" t="s">
        <v>514</v>
      </c>
      <c r="F81" s="180"/>
    </row>
    <row r="82" customFormat="false" ht="12.65" hidden="false" customHeight="false" outlineLevel="1" collapsed="false">
      <c r="D82" s="165" t="s">
        <v>515</v>
      </c>
      <c r="E82" s="203" t="s">
        <v>516</v>
      </c>
      <c r="F82" s="180" t="n">
        <v>298.765104454688</v>
      </c>
    </row>
    <row r="83" customFormat="false" ht="12.65" hidden="false" customHeight="false" outlineLevel="1" collapsed="false">
      <c r="D83" s="165" t="s">
        <v>470</v>
      </c>
      <c r="F83" s="187" t="n">
        <v>2</v>
      </c>
    </row>
    <row r="84" customFormat="false" ht="12.65" hidden="false" customHeight="false" outlineLevel="1" collapsed="false">
      <c r="D84" s="165" t="s">
        <v>464</v>
      </c>
      <c r="E84" s="203" t="str">
        <f aca="false">$F$4</f>
        <v>Single</v>
      </c>
      <c r="F84" s="187" t="n">
        <f aca="false">IF($E$84="Single",1,2)</f>
        <v>1</v>
      </c>
    </row>
    <row r="85" customFormat="false" ht="12.65" hidden="false" customHeight="false" outlineLevel="1" collapsed="false">
      <c r="D85" s="165" t="s">
        <v>437</v>
      </c>
      <c r="F85" s="194" t="n">
        <v>1</v>
      </c>
    </row>
    <row r="86" customFormat="false" ht="12.65" hidden="false" customHeight="false" outlineLevel="1" collapsed="false">
      <c r="E86" s="165" t="s">
        <v>517</v>
      </c>
      <c r="F86" s="179" t="n">
        <v>1.04</v>
      </c>
    </row>
    <row r="87" customFormat="false" ht="12.65" hidden="false" customHeight="false" outlineLevel="1" collapsed="false">
      <c r="E87" s="165" t="s">
        <v>518</v>
      </c>
      <c r="F87" s="130" t="n">
        <v>5.28</v>
      </c>
    </row>
    <row r="88" customFormat="false" ht="12.65" hidden="false" customHeight="false" outlineLevel="1" collapsed="false">
      <c r="E88" s="165" t="s">
        <v>519</v>
      </c>
      <c r="F88" s="212" t="n">
        <v>3</v>
      </c>
    </row>
    <row r="89" customFormat="false" ht="12.65" hidden="false" customHeight="false" outlineLevel="1" collapsed="false">
      <c r="E89" s="132" t="s">
        <v>520</v>
      </c>
      <c r="F89" s="213" t="n">
        <f aca="false">F82*F83*F84*F85*F86*F87*F88</f>
        <v>9843.47364948948</v>
      </c>
    </row>
    <row r="90" customFormat="false" ht="12.65" hidden="false" customHeight="false" outlineLevel="1" collapsed="false">
      <c r="E90" s="132" t="s">
        <v>522</v>
      </c>
      <c r="F90" s="214" t="n">
        <f aca="false">F80+F89</f>
        <v>74142.9023813478</v>
      </c>
    </row>
    <row r="91" customFormat="false" ht="12.65" hidden="false" customHeight="false" outlineLevel="1" collapsed="false">
      <c r="F91" s="182"/>
    </row>
    <row r="92" customFormat="false" ht="12.65" hidden="false" customHeight="false" outlineLevel="1" collapsed="false">
      <c r="A92" s="171"/>
      <c r="B92" s="171"/>
      <c r="C92" s="172"/>
      <c r="D92" s="171"/>
      <c r="E92" s="171"/>
      <c r="F92" s="171"/>
    </row>
    <row r="93" customFormat="false" ht="12.65" hidden="false" customHeight="false" outlineLevel="1" collapsed="false">
      <c r="A93" s="202" t="s">
        <v>523</v>
      </c>
      <c r="B93" s="174"/>
      <c r="C93" s="175"/>
      <c r="D93" s="174"/>
      <c r="E93" s="174"/>
    </row>
    <row r="94" s="165" customFormat="true" ht="12.65" hidden="false" customHeight="false" outlineLevel="1" collapsed="false">
      <c r="D94" s="177" t="s">
        <v>513</v>
      </c>
      <c r="E94" s="177" t="s">
        <v>514</v>
      </c>
    </row>
    <row r="95" s="165" customFormat="true" ht="12.65" hidden="false" customHeight="false" outlineLevel="1" collapsed="false">
      <c r="D95" s="165" t="s">
        <v>515</v>
      </c>
      <c r="E95" s="203" t="s">
        <v>516</v>
      </c>
      <c r="F95" s="180" t="n">
        <v>4558.12684159219</v>
      </c>
    </row>
    <row r="96" s="165" customFormat="true" ht="12.65" hidden="false" customHeight="false" outlineLevel="1" collapsed="false">
      <c r="D96" s="165" t="s">
        <v>470</v>
      </c>
      <c r="F96" s="187" t="n">
        <v>2</v>
      </c>
    </row>
    <row r="97" s="165" customFormat="true" ht="12.65" hidden="false" customHeight="false" outlineLevel="1" collapsed="false">
      <c r="D97" s="165" t="s">
        <v>464</v>
      </c>
      <c r="E97" s="203" t="str">
        <f aca="false">$F$4</f>
        <v>Single</v>
      </c>
      <c r="F97" s="187" t="n">
        <f aca="false">IF($E$97="Single",1,2)</f>
        <v>1</v>
      </c>
    </row>
    <row r="98" s="165" customFormat="true" ht="12.65" hidden="false" customHeight="false" outlineLevel="1" collapsed="false">
      <c r="D98" s="165" t="s">
        <v>437</v>
      </c>
      <c r="F98" s="194" t="n">
        <v>1</v>
      </c>
    </row>
    <row r="99" s="165" customFormat="true" ht="12.65" hidden="false" customHeight="false" outlineLevel="1" collapsed="false">
      <c r="E99" s="165" t="s">
        <v>524</v>
      </c>
      <c r="F99" s="179" t="n">
        <v>1.04</v>
      </c>
    </row>
    <row r="100" s="165" customFormat="true" ht="12.65" hidden="false" customHeight="false" outlineLevel="1" collapsed="false">
      <c r="E100" s="165" t="s">
        <v>525</v>
      </c>
      <c r="F100" s="130" t="n">
        <v>5.28</v>
      </c>
    </row>
    <row r="101" s="165" customFormat="true" ht="12.65" hidden="false" customHeight="false" outlineLevel="1" collapsed="false">
      <c r="E101" s="165" t="s">
        <v>526</v>
      </c>
      <c r="F101" s="130" t="n">
        <v>3</v>
      </c>
    </row>
    <row r="102" s="165" customFormat="true" ht="12.65" hidden="false" customHeight="false" outlineLevel="1" collapsed="false">
      <c r="F102" s="214" t="n">
        <f aca="false">F95*F96*F97*F98*F99*F100*F101</f>
        <v>150177.516675306</v>
      </c>
    </row>
    <row r="103" s="165" customFormat="true" ht="12.65" hidden="false" customHeight="false" outlineLevel="1" collapsed="false">
      <c r="F103" s="182"/>
    </row>
    <row r="104" customFormat="false" ht="12.65" hidden="false" customHeight="false" outlineLevel="1" collapsed="false">
      <c r="A104" s="171"/>
      <c r="B104" s="171"/>
      <c r="C104" s="172"/>
      <c r="D104" s="171"/>
      <c r="E104" s="171"/>
      <c r="F104" s="171"/>
    </row>
    <row r="105" customFormat="false" ht="12.65" hidden="false" customHeight="false" outlineLevel="1" collapsed="false">
      <c r="A105" s="202" t="s">
        <v>527</v>
      </c>
      <c r="B105" s="174"/>
      <c r="C105" s="175"/>
      <c r="D105" s="174"/>
      <c r="E105" s="174"/>
    </row>
    <row r="106" customFormat="false" ht="12.65" hidden="false" customHeight="false" outlineLevel="1" collapsed="false">
      <c r="C106" s="177" t="s">
        <v>513</v>
      </c>
      <c r="D106" s="177" t="s">
        <v>528</v>
      </c>
      <c r="E106" s="177" t="s">
        <v>529</v>
      </c>
    </row>
    <row r="107" customFormat="false" ht="12.65" hidden="false" customHeight="false" outlineLevel="1" collapsed="false">
      <c r="C107" s="165" t="s">
        <v>143</v>
      </c>
      <c r="D107" s="187" t="n">
        <v>1</v>
      </c>
      <c r="E107" s="180" t="n">
        <v>673.026802875</v>
      </c>
      <c r="F107" s="187" t="n">
        <f aca="false">D107*E107</f>
        <v>673.026802875</v>
      </c>
    </row>
    <row r="108" customFormat="false" ht="12.65" hidden="false" customHeight="false" outlineLevel="1" collapsed="false">
      <c r="C108" s="165" t="s">
        <v>144</v>
      </c>
      <c r="D108" s="187" t="n">
        <v>1</v>
      </c>
      <c r="E108" s="180" t="n">
        <v>3044.883342375</v>
      </c>
      <c r="F108" s="215" t="n">
        <f aca="false">D108*E108</f>
        <v>3044.883342375</v>
      </c>
    </row>
    <row r="109" customFormat="false" ht="12.65" hidden="false" customHeight="false" outlineLevel="1" collapsed="false">
      <c r="C109" s="165" t="s">
        <v>530</v>
      </c>
      <c r="D109" s="187"/>
      <c r="E109" s="180"/>
      <c r="F109" s="187" t="n">
        <f aca="false">F107+F108</f>
        <v>3717.91014525</v>
      </c>
    </row>
    <row r="110" customFormat="false" ht="12.65" hidden="false" customHeight="false" outlineLevel="1" collapsed="false">
      <c r="E110" s="165" t="s">
        <v>437</v>
      </c>
      <c r="F110" s="194" t="n">
        <v>1</v>
      </c>
    </row>
    <row r="111" s="165" customFormat="true" ht="12.65" hidden="false" customHeight="false" outlineLevel="1" collapsed="false">
      <c r="E111" s="165" t="s">
        <v>524</v>
      </c>
      <c r="F111" s="179" t="n">
        <v>1.04</v>
      </c>
    </row>
    <row r="112" s="165" customFormat="true" ht="12.65" hidden="false" customHeight="false" outlineLevel="1" collapsed="false">
      <c r="E112" s="165" t="s">
        <v>525</v>
      </c>
      <c r="F112" s="130" t="n">
        <v>5.28</v>
      </c>
    </row>
    <row r="113" s="165" customFormat="true" ht="12.65" hidden="false" customHeight="false" outlineLevel="1" collapsed="false">
      <c r="F113" s="214" t="n">
        <f aca="false">F109*F110*F111*F112</f>
        <v>20415.7881895968</v>
      </c>
    </row>
    <row r="114" s="165" customFormat="true" ht="12.65" hidden="false" customHeight="false" outlineLevel="1" collapsed="false">
      <c r="F114" s="182"/>
    </row>
    <row r="115" customFormat="false" ht="12.65" hidden="false" customHeight="false" outlineLevel="1" collapsed="false">
      <c r="A115" s="171"/>
      <c r="B115" s="171"/>
      <c r="C115" s="172"/>
      <c r="D115" s="171"/>
      <c r="E115" s="171"/>
      <c r="F115" s="171"/>
    </row>
    <row r="116" customFormat="false" ht="12.65" hidden="false" customHeight="false" outlineLevel="1" collapsed="false">
      <c r="A116" s="202" t="s">
        <v>531</v>
      </c>
      <c r="B116" s="174"/>
      <c r="C116" s="175"/>
      <c r="D116" s="174"/>
      <c r="E116" s="174"/>
    </row>
    <row r="117" customFormat="false" ht="12.65" hidden="false" customHeight="false" outlineLevel="1" collapsed="false">
      <c r="C117" s="177" t="s">
        <v>513</v>
      </c>
      <c r="D117" s="177" t="s">
        <v>528</v>
      </c>
      <c r="E117" s="177" t="s">
        <v>529</v>
      </c>
    </row>
    <row r="118" customFormat="false" ht="12.65" hidden="false" customHeight="false" outlineLevel="1" collapsed="false">
      <c r="C118" s="165" t="s">
        <v>143</v>
      </c>
      <c r="D118" s="187" t="n">
        <v>1</v>
      </c>
      <c r="E118" s="180" t="n">
        <v>1722.088683</v>
      </c>
      <c r="F118" s="187" t="n">
        <f aca="false">D118*E118</f>
        <v>1722.088683</v>
      </c>
    </row>
    <row r="119" customFormat="false" ht="12.65" hidden="false" customHeight="false" outlineLevel="1" collapsed="false">
      <c r="C119" s="165" t="s">
        <v>144</v>
      </c>
      <c r="D119" s="187" t="n">
        <v>1</v>
      </c>
      <c r="E119" s="180" t="n">
        <v>7781.368541625</v>
      </c>
      <c r="F119" s="215" t="n">
        <f aca="false">D119*E119</f>
        <v>7781.368541625</v>
      </c>
    </row>
    <row r="120" customFormat="false" ht="12.65" hidden="false" customHeight="false" outlineLevel="1" collapsed="false">
      <c r="C120" s="165" t="s">
        <v>530</v>
      </c>
      <c r="D120" s="187"/>
      <c r="E120" s="180"/>
      <c r="F120" s="187" t="n">
        <f aca="false">F118+F119</f>
        <v>9503.457224625</v>
      </c>
    </row>
    <row r="121" customFormat="false" ht="12.65" hidden="false" customHeight="false" outlineLevel="1" collapsed="false">
      <c r="E121" s="165" t="s">
        <v>437</v>
      </c>
      <c r="F121" s="194" t="n">
        <v>1</v>
      </c>
    </row>
    <row r="122" s="165" customFormat="true" ht="12.65" hidden="false" customHeight="false" outlineLevel="1" collapsed="false">
      <c r="E122" s="165" t="s">
        <v>524</v>
      </c>
      <c r="F122" s="179" t="n">
        <v>1.04</v>
      </c>
    </row>
    <row r="123" s="165" customFormat="true" ht="12.65" hidden="false" customHeight="false" outlineLevel="1" collapsed="false">
      <c r="E123" s="165" t="s">
        <v>525</v>
      </c>
      <c r="F123" s="130" t="n">
        <v>5.28</v>
      </c>
    </row>
    <row r="124" s="165" customFormat="true" ht="12.65" hidden="false" customHeight="false" outlineLevel="1" collapsed="false">
      <c r="F124" s="214" t="n">
        <f aca="false">F120*F121*F122*F123</f>
        <v>52185.3843118608</v>
      </c>
    </row>
    <row r="125" customFormat="false" ht="12.65" hidden="false" customHeight="false" outlineLevel="1" collapsed="false">
      <c r="F125" s="182"/>
    </row>
    <row r="126" customFormat="false" ht="12.65" hidden="false" customHeight="false" outlineLevel="1" collapsed="false">
      <c r="A126" s="216"/>
      <c r="B126" s="216"/>
      <c r="C126" s="217"/>
      <c r="D126" s="216"/>
      <c r="E126" s="216"/>
      <c r="F126" s="216"/>
    </row>
    <row r="127" customFormat="false" ht="13" hidden="false" customHeight="false" outlineLevel="0" collapsed="false">
      <c r="D127" s="218" t="s">
        <v>532</v>
      </c>
      <c r="E127" s="219" t="n">
        <v>0.055</v>
      </c>
      <c r="F127" s="187" t="n">
        <f aca="false">E127*SUM(F$130:F$138)</f>
        <v>132557.66730814</v>
      </c>
    </row>
    <row r="128" customFormat="false" ht="35" hidden="false" customHeight="false" outlineLevel="0" collapsed="false">
      <c r="D128" s="218" t="s">
        <v>533</v>
      </c>
      <c r="E128" s="219" t="n">
        <v>0.03</v>
      </c>
      <c r="F128" s="187" t="n">
        <f aca="false">E128*SUM(F$130:F$138)</f>
        <v>72304.1821680762</v>
      </c>
    </row>
    <row r="129" customFormat="false" ht="24" hidden="false" customHeight="false" outlineLevel="0" collapsed="false">
      <c r="D129" s="218" t="s">
        <v>534</v>
      </c>
      <c r="E129" s="219" t="n">
        <v>0.015</v>
      </c>
      <c r="F129" s="187" t="n">
        <f aca="false">E129*SUM(F$130:F$138)</f>
        <v>36152.0910840381</v>
      </c>
    </row>
    <row r="130" customFormat="false" ht="24" hidden="false" customHeight="false" outlineLevel="0" collapsed="false">
      <c r="A130" s="132"/>
      <c r="B130" s="132"/>
      <c r="D130" s="218" t="s">
        <v>473</v>
      </c>
      <c r="E130" s="220"/>
      <c r="F130" s="221" t="n">
        <f aca="false">F19</f>
        <v>616250.737116477</v>
      </c>
    </row>
    <row r="131" customFormat="false" ht="13" hidden="false" customHeight="false" outlineLevel="0" collapsed="false">
      <c r="A131" s="132"/>
      <c r="B131" s="132"/>
      <c r="D131" s="218" t="s">
        <v>481</v>
      </c>
      <c r="E131" s="222"/>
      <c r="F131" s="221" t="n">
        <f aca="false">F28</f>
        <v>442454.65889625</v>
      </c>
    </row>
    <row r="132" customFormat="false" ht="13" hidden="false" customHeight="false" outlineLevel="0" collapsed="false">
      <c r="A132" s="132"/>
      <c r="B132" s="132"/>
      <c r="D132" s="218" t="s">
        <v>535</v>
      </c>
      <c r="E132" s="222"/>
      <c r="F132" s="221" t="n">
        <f aca="false">F37</f>
        <v>231755.639788969</v>
      </c>
    </row>
    <row r="133" customFormat="false" ht="24" hidden="false" customHeight="false" outlineLevel="0" collapsed="false">
      <c r="A133" s="132"/>
      <c r="B133" s="132"/>
      <c r="D133" s="218" t="s">
        <v>536</v>
      </c>
      <c r="E133" s="222"/>
      <c r="F133" s="221" t="n">
        <f aca="false">F46</f>
        <v>80934.183500625</v>
      </c>
    </row>
    <row r="134" customFormat="false" ht="13" hidden="false" customHeight="false" outlineLevel="0" collapsed="false">
      <c r="A134" s="132"/>
      <c r="B134" s="132"/>
      <c r="D134" s="218" t="s">
        <v>537</v>
      </c>
      <c r="E134" s="222"/>
      <c r="F134" s="221" t="n">
        <f aca="false">F68</f>
        <v>741822.594742106</v>
      </c>
    </row>
    <row r="135" customFormat="false" ht="13" hidden="false" customHeight="false" outlineLevel="0" collapsed="false">
      <c r="A135" s="132"/>
      <c r="B135" s="132"/>
      <c r="D135" s="218" t="s">
        <v>538</v>
      </c>
      <c r="E135" s="222"/>
      <c r="F135" s="221" t="n">
        <f aca="false">F90</f>
        <v>74142.9023813478</v>
      </c>
    </row>
    <row r="136" customFormat="false" ht="13" hidden="false" customHeight="false" outlineLevel="0" collapsed="false">
      <c r="A136" s="132"/>
      <c r="B136" s="132"/>
      <c r="D136" s="218" t="s">
        <v>539</v>
      </c>
      <c r="E136" s="222"/>
      <c r="F136" s="221" t="n">
        <f aca="false">F102</f>
        <v>150177.516675306</v>
      </c>
    </row>
    <row r="137" customFormat="false" ht="24" hidden="false" customHeight="false" outlineLevel="0" collapsed="false">
      <c r="A137" s="132"/>
      <c r="B137" s="132"/>
      <c r="D137" s="218" t="s">
        <v>540</v>
      </c>
      <c r="E137" s="222"/>
      <c r="F137" s="221" t="n">
        <f aca="false">F113</f>
        <v>20415.7881895968</v>
      </c>
    </row>
    <row r="138" customFormat="false" ht="24" hidden="false" customHeight="false" outlineLevel="0" collapsed="false">
      <c r="A138" s="132"/>
      <c r="B138" s="132"/>
      <c r="D138" s="218" t="s">
        <v>541</v>
      </c>
      <c r="E138" s="223"/>
      <c r="F138" s="224" t="n">
        <f aca="false">F124</f>
        <v>52185.3843118608</v>
      </c>
    </row>
    <row r="139" customFormat="false" ht="13" hidden="false" customHeight="false" outlineLevel="0" collapsed="false">
      <c r="A139" s="132"/>
      <c r="B139" s="132"/>
      <c r="D139" s="218" t="s">
        <v>542</v>
      </c>
      <c r="E139" s="218"/>
      <c r="F139" s="187" t="n">
        <f aca="false">SUM(F127:F138)</f>
        <v>2651153.34616279</v>
      </c>
    </row>
    <row r="140" customFormat="false" ht="12.65" hidden="false" customHeight="false" outlineLevel="0" collapsed="false">
      <c r="A140" s="132"/>
      <c r="B140" s="132"/>
      <c r="D140" s="218"/>
      <c r="E140" s="218"/>
      <c r="F140" s="187"/>
    </row>
    <row r="141" customFormat="false" ht="13" hidden="false" customHeight="false" outlineLevel="0" collapsed="false">
      <c r="D141" s="218" t="s">
        <v>543</v>
      </c>
      <c r="E141" s="219" t="n">
        <v>0.3</v>
      </c>
      <c r="F141" s="187" t="n">
        <f aca="false">F139*E141</f>
        <v>795346.003848838</v>
      </c>
    </row>
    <row r="142" customFormat="false" ht="13" hidden="false" customHeight="false" outlineLevel="0" collapsed="false">
      <c r="D142" s="218" t="s">
        <v>544</v>
      </c>
      <c r="E142" s="219" t="n">
        <v>0.075</v>
      </c>
      <c r="F142" s="215" t="n">
        <f aca="false">(F139+F141)*E142</f>
        <v>258487.451250872</v>
      </c>
    </row>
    <row r="143" customFormat="false" ht="24" hidden="false" customHeight="false" outlineLevel="0" collapsed="false">
      <c r="D143" s="218" t="s">
        <v>545</v>
      </c>
      <c r="E143" s="218"/>
      <c r="F143" s="187" t="n">
        <f aca="false">F141+F142</f>
        <v>1053833.45509971</v>
      </c>
    </row>
    <row r="144" customFormat="false" ht="12.65" hidden="false" customHeight="false" outlineLevel="0" collapsed="false">
      <c r="D144" s="218"/>
      <c r="E144" s="218"/>
      <c r="F144" s="187"/>
    </row>
    <row r="145" customFormat="false" ht="13" hidden="false" customHeight="false" outlineLevel="0" collapsed="false">
      <c r="D145" s="225" t="s">
        <v>546</v>
      </c>
      <c r="E145" s="225"/>
      <c r="F145" s="214" t="n">
        <f aca="false">F139+F143</f>
        <v>3704986.8012625</v>
      </c>
    </row>
    <row r="146" customFormat="false" ht="12.75" hidden="false" customHeight="false" outlineLevel="0" collapsed="false">
      <c r="F146" s="226" t="n">
        <f aca="false">F145/1000000</f>
        <v>3.7049868012625</v>
      </c>
    </row>
  </sheetData>
  <conditionalFormatting sqref="F125">
    <cfRule type="cellIs" priority="2" operator="notEqual" aboveAverage="0" equalAverage="0" bottom="0" percent="0" rank="0" text="" dxfId="0">
      <formula>0</formula>
    </cfRule>
  </conditionalFormatting>
  <conditionalFormatting sqref="F114">
    <cfRule type="cellIs" priority="3" operator="notEqual" aboveAverage="0" equalAverage="0" bottom="0" percent="0" rank="0" text="" dxfId="1">
      <formula>0</formula>
    </cfRule>
  </conditionalFormatting>
  <conditionalFormatting sqref="F103">
    <cfRule type="cellIs" priority="4" operator="notEqual" aboveAverage="0" equalAverage="0" bottom="0" percent="0" rank="0" text="" dxfId="2">
      <formula>0</formula>
    </cfRule>
  </conditionalFormatting>
  <conditionalFormatting sqref="F91">
    <cfRule type="cellIs" priority="5" operator="notEqual" aboveAverage="0" equalAverage="0" bottom="0" percent="0" rank="0" text="" dxfId="3">
      <formula>0</formula>
    </cfRule>
  </conditionalFormatting>
  <conditionalFormatting sqref="F69">
    <cfRule type="cellIs" priority="6" operator="notEqual" aboveAverage="0" equalAverage="0" bottom="0" percent="0" rank="0" text="" dxfId="4">
      <formula>0</formula>
    </cfRule>
  </conditionalFormatting>
  <conditionalFormatting sqref="F47">
    <cfRule type="cellIs" priority="7" operator="notEqual" aboveAverage="0" equalAverage="0" bottom="0" percent="0" rank="0" text="" dxfId="5">
      <formula>0</formula>
    </cfRule>
  </conditionalFormatting>
  <conditionalFormatting sqref="F38">
    <cfRule type="cellIs" priority="8" operator="notEqual" aboveAverage="0" equalAverage="0" bottom="0" percent="0" rank="0" text="" dxfId="6">
      <formula>0</formula>
    </cfRule>
  </conditionalFormatting>
  <conditionalFormatting sqref="F29">
    <cfRule type="cellIs" priority="9" operator="notEqual" aboveAverage="0" equalAverage="0" bottom="0" percent="0" rank="0" text="" dxfId="7">
      <formula>0</formula>
    </cfRule>
  </conditionalFormatting>
  <conditionalFormatting sqref="F20">
    <cfRule type="cellIs" priority="10" operator="notEqual" aboveAverage="0" equalAverage="0" bottom="0" percent="0" rank="0" text="" dxfId="8">
      <formula>0</formula>
    </cfRule>
  </conditionalFormatting>
  <dataValidations count="1">
    <dataValidation allowBlank="true" errorStyle="stop" operator="equal" showDropDown="false" showErrorMessage="true" showInputMessage="true" sqref="F1:F2 F4:F5 F7:F8" type="list">
      <formula1>#REF!</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1B6BB"/>
    <pageSetUpPr fitToPage="false"/>
  </sheetPr>
  <dimension ref="A1:F13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23" topLeftCell="A24" activePane="bottomLeft" state="frozen"/>
      <selection pane="topLeft" activeCell="A1" activeCellId="0" sqref="A1"/>
      <selection pane="bottomLeft" activeCell="A24" activeCellId="0" sqref="A24"/>
    </sheetView>
  </sheetViews>
  <sheetFormatPr defaultColWidth="9.18359375" defaultRowHeight="12" customHeight="true" zeroHeight="false" outlineLevelRow="1" outlineLevelCol="0"/>
  <cols>
    <col collapsed="false" customWidth="true" hidden="false" outlineLevel="0" max="1" min="1" style="165" width="31.45"/>
    <col collapsed="false" customWidth="true" hidden="false" outlineLevel="0" max="2" min="2" style="165" width="24.45"/>
    <col collapsed="false" customWidth="true" hidden="false" outlineLevel="0" max="3" min="3" style="132" width="33.45"/>
    <col collapsed="false" customWidth="true" hidden="false" outlineLevel="0" max="5" min="4" style="165" width="25.54"/>
    <col collapsed="false" customWidth="true" hidden="false" outlineLevel="0" max="6" min="6" style="165" width="21.54"/>
    <col collapsed="false" customWidth="false" hidden="false" outlineLevel="0" max="7" min="7" style="165" width="9.18"/>
    <col collapsed="false" customWidth="true" hidden="false" outlineLevel="0" max="8" min="8" style="165" width="16"/>
    <col collapsed="false" customWidth="false" hidden="false" outlineLevel="0" max="16384" min="9" style="165" width="9.18"/>
  </cols>
  <sheetData>
    <row r="1" s="227" customFormat="true" ht="13.5" hidden="false" customHeight="true" outlineLevel="0" collapsed="false">
      <c r="B1" s="165"/>
      <c r="E1" s="167" t="s">
        <v>428</v>
      </c>
      <c r="F1" s="136" t="s">
        <v>21</v>
      </c>
    </row>
    <row r="2" s="227" customFormat="true" ht="44.25" hidden="false" customHeight="true" outlineLevel="0" collapsed="false">
      <c r="A2" s="165"/>
      <c r="B2" s="165"/>
      <c r="E2" s="228" t="s">
        <v>547</v>
      </c>
      <c r="F2" s="229" t="s">
        <v>548</v>
      </c>
    </row>
    <row r="3" s="227" customFormat="true" ht="13.5" hidden="false" customHeight="true" outlineLevel="0" collapsed="false">
      <c r="A3" s="165"/>
      <c r="B3" s="165"/>
      <c r="E3" s="230" t="s">
        <v>463</v>
      </c>
      <c r="F3" s="136" t="s">
        <v>42</v>
      </c>
    </row>
    <row r="4" s="227" customFormat="true" ht="13.5" hidden="false" customHeight="true" outlineLevel="0" collapsed="false">
      <c r="A4" s="165"/>
      <c r="B4" s="165"/>
      <c r="E4" s="230" t="s">
        <v>549</v>
      </c>
      <c r="F4" s="136" t="s">
        <v>480</v>
      </c>
    </row>
    <row r="5" s="227" customFormat="true" ht="13.5" hidden="false" customHeight="true" outlineLevel="0" collapsed="false">
      <c r="A5" s="165"/>
      <c r="B5" s="165"/>
      <c r="E5" s="230" t="s">
        <v>550</v>
      </c>
      <c r="F5" s="136" t="s">
        <v>259</v>
      </c>
    </row>
    <row r="6" s="227" customFormat="true" ht="13.5" hidden="false" customHeight="true" outlineLevel="0" collapsed="false">
      <c r="A6" s="165"/>
      <c r="B6" s="165"/>
      <c r="E6" s="231" t="s">
        <v>551</v>
      </c>
      <c r="F6" s="136"/>
    </row>
    <row r="7" s="227" customFormat="true" ht="13.5" hidden="false" customHeight="true" outlineLevel="1" collapsed="false">
      <c r="A7" s="165"/>
      <c r="B7" s="165"/>
      <c r="E7" s="231" t="s">
        <v>552</v>
      </c>
      <c r="F7" s="136" t="s">
        <v>42</v>
      </c>
    </row>
    <row r="8" s="227" customFormat="true" ht="13.5" hidden="false" customHeight="true" outlineLevel="1" collapsed="false">
      <c r="A8" s="165"/>
      <c r="B8" s="165"/>
      <c r="E8" s="231" t="s">
        <v>553</v>
      </c>
      <c r="F8" s="136"/>
    </row>
    <row r="9" s="227" customFormat="true" ht="13.5" hidden="false" customHeight="true" outlineLevel="1" collapsed="false">
      <c r="A9" s="165"/>
      <c r="B9" s="165"/>
      <c r="E9" s="209" t="s">
        <v>554</v>
      </c>
      <c r="F9" s="136"/>
    </row>
    <row r="10" s="227" customFormat="true" ht="13.5" hidden="false" customHeight="true" outlineLevel="1" collapsed="false">
      <c r="A10" s="165"/>
      <c r="B10" s="165"/>
      <c r="E10" s="230"/>
      <c r="F10" s="232"/>
    </row>
    <row r="11" s="227" customFormat="true" ht="13.5" hidden="false" customHeight="true" outlineLevel="1" collapsed="false">
      <c r="A11" s="165"/>
      <c r="B11" s="165"/>
      <c r="D11" s="203" t="s">
        <v>555</v>
      </c>
      <c r="E11" s="230" t="s">
        <v>556</v>
      </c>
      <c r="F11" s="233" t="n">
        <v>9</v>
      </c>
    </row>
    <row r="12" s="227" customFormat="true" ht="13.5" hidden="false" customHeight="true" outlineLevel="1" collapsed="false">
      <c r="A12" s="165"/>
      <c r="B12" s="165"/>
      <c r="D12" s="203" t="s">
        <v>557</v>
      </c>
      <c r="E12" s="230" t="s">
        <v>558</v>
      </c>
      <c r="F12" s="233" t="n">
        <v>1</v>
      </c>
    </row>
    <row r="13" s="227" customFormat="true" ht="13.5" hidden="false" customHeight="true" outlineLevel="1" collapsed="false">
      <c r="A13" s="165"/>
      <c r="B13" s="165"/>
      <c r="D13" s="203" t="s">
        <v>559</v>
      </c>
      <c r="E13" s="230" t="s">
        <v>560</v>
      </c>
      <c r="F13" s="233" t="n">
        <v>8</v>
      </c>
    </row>
    <row r="14" s="227" customFormat="true" ht="13.5" hidden="false" customHeight="true" outlineLevel="1" collapsed="false">
      <c r="A14" s="165"/>
      <c r="B14" s="165"/>
      <c r="D14" s="203" t="s">
        <v>559</v>
      </c>
      <c r="E14" s="230" t="s">
        <v>561</v>
      </c>
      <c r="F14" s="233" t="n">
        <v>16</v>
      </c>
    </row>
    <row r="15" s="227" customFormat="true" ht="13.5" hidden="false" customHeight="true" outlineLevel="1" collapsed="false">
      <c r="A15" s="165"/>
      <c r="B15" s="165"/>
      <c r="D15" s="203" t="s">
        <v>562</v>
      </c>
      <c r="E15" s="230" t="s">
        <v>563</v>
      </c>
      <c r="F15" s="233" t="n">
        <v>6</v>
      </c>
    </row>
    <row r="16" s="227" customFormat="true" ht="13.5" hidden="false" customHeight="true" outlineLevel="1" collapsed="false">
      <c r="A16" s="165"/>
      <c r="B16" s="165"/>
      <c r="D16" s="203" t="s">
        <v>564</v>
      </c>
      <c r="E16" s="230" t="s">
        <v>565</v>
      </c>
      <c r="F16" s="233" t="n">
        <v>20</v>
      </c>
    </row>
    <row r="17" s="227" customFormat="true" ht="13.5" hidden="false" customHeight="true" outlineLevel="1" collapsed="false">
      <c r="A17" s="165"/>
      <c r="B17" s="165"/>
      <c r="D17" s="203" t="s">
        <v>559</v>
      </c>
      <c r="E17" s="228" t="s">
        <v>317</v>
      </c>
      <c r="F17" s="233" t="n">
        <v>4</v>
      </c>
    </row>
    <row r="18" s="227" customFormat="true" ht="13.5" hidden="false" customHeight="true" outlineLevel="1" collapsed="false">
      <c r="A18" s="165"/>
      <c r="B18" s="165"/>
      <c r="D18" s="203" t="s">
        <v>559</v>
      </c>
      <c r="E18" s="228" t="s">
        <v>287</v>
      </c>
      <c r="F18" s="233" t="n">
        <v>1</v>
      </c>
    </row>
    <row r="19" s="227" customFormat="true" ht="13.5" hidden="false" customHeight="true" outlineLevel="1" collapsed="false">
      <c r="A19" s="165"/>
      <c r="B19" s="165"/>
      <c r="D19" s="203" t="s">
        <v>559</v>
      </c>
      <c r="E19" s="228" t="s">
        <v>566</v>
      </c>
      <c r="F19" s="233" t="n">
        <v>10</v>
      </c>
    </row>
    <row r="20" s="227" customFormat="true" ht="13.5" hidden="false" customHeight="true" outlineLevel="1" collapsed="false">
      <c r="A20" s="165"/>
      <c r="B20" s="165"/>
      <c r="D20" s="203" t="s">
        <v>567</v>
      </c>
      <c r="E20" s="228" t="s">
        <v>568</v>
      </c>
      <c r="F20" s="233" t="n">
        <v>48000</v>
      </c>
    </row>
    <row r="21" s="227" customFormat="true" ht="13.5" hidden="false" customHeight="true" outlineLevel="1" collapsed="false">
      <c r="A21" s="165"/>
      <c r="B21" s="165"/>
      <c r="D21" s="203" t="s">
        <v>567</v>
      </c>
      <c r="E21" s="228" t="s">
        <v>569</v>
      </c>
      <c r="F21" s="233" t="n">
        <v>4800</v>
      </c>
    </row>
    <row r="22" s="227" customFormat="true" ht="13.5" hidden="false" customHeight="true" outlineLevel="1" collapsed="false">
      <c r="A22" s="165"/>
      <c r="B22" s="165"/>
      <c r="D22" s="203" t="s">
        <v>570</v>
      </c>
      <c r="E22" s="228" t="s">
        <v>571</v>
      </c>
      <c r="F22" s="233" t="n">
        <v>480</v>
      </c>
    </row>
    <row r="23" s="227" customFormat="true" ht="13.5" hidden="false" customHeight="true" outlineLevel="1" collapsed="false">
      <c r="A23" s="234"/>
      <c r="B23" s="234"/>
      <c r="C23" s="234"/>
      <c r="D23" s="234"/>
      <c r="E23" s="234"/>
      <c r="F23" s="234"/>
    </row>
    <row r="24" s="227" customFormat="true" ht="13.5" hidden="false" customHeight="true" outlineLevel="1" collapsed="false"/>
    <row r="25" customFormat="false" ht="12.65" hidden="false" customHeight="false" outlineLevel="1" collapsed="false">
      <c r="A25" s="235" t="s">
        <v>572</v>
      </c>
      <c r="B25" s="174"/>
      <c r="C25" s="175"/>
      <c r="D25" s="174"/>
      <c r="E25" s="174"/>
    </row>
    <row r="26" customFormat="false" ht="12.65" hidden="false" customHeight="false" outlineLevel="1" collapsed="false">
      <c r="A26" s="185" t="s">
        <v>14</v>
      </c>
      <c r="B26" s="185" t="s">
        <v>573</v>
      </c>
      <c r="C26" s="236" t="s">
        <v>574</v>
      </c>
      <c r="D26" s="177" t="s">
        <v>575</v>
      </c>
      <c r="E26" s="237"/>
      <c r="F26" s="238"/>
    </row>
    <row r="27" customFormat="false" ht="12.65" hidden="false" customHeight="false" outlineLevel="1" collapsed="false">
      <c r="A27" s="165" t="s">
        <v>21</v>
      </c>
      <c r="B27" s="165" t="s">
        <v>480</v>
      </c>
      <c r="C27" s="179" t="n">
        <v>9</v>
      </c>
      <c r="D27" s="237" t="n">
        <v>38548.0604640625</v>
      </c>
      <c r="E27" s="237"/>
      <c r="F27" s="237" t="n">
        <f aca="false">C27*D27</f>
        <v>346932.544176563</v>
      </c>
    </row>
    <row r="28" s="165" customFormat="true" ht="12.65" hidden="false" customHeight="false" outlineLevel="1" collapsed="false">
      <c r="D28" s="179"/>
      <c r="E28" s="237"/>
      <c r="F28" s="197" t="n">
        <f aca="false">F27</f>
        <v>346932.544176563</v>
      </c>
    </row>
    <row r="29" customFormat="false" ht="12.65" hidden="false" customHeight="false" outlineLevel="1" collapsed="false"/>
    <row r="30" customFormat="false" ht="12.65" hidden="false" customHeight="false" outlineLevel="1" collapsed="false">
      <c r="A30" s="239" t="s">
        <v>576</v>
      </c>
      <c r="B30" s="190"/>
      <c r="C30" s="191"/>
      <c r="D30" s="190"/>
      <c r="E30" s="190"/>
    </row>
    <row r="31" customFormat="false" ht="12.65" hidden="false" customHeight="false" outlineLevel="1" collapsed="false">
      <c r="B31" s="185" t="s">
        <v>577</v>
      </c>
      <c r="C31" s="236" t="s">
        <v>574</v>
      </c>
      <c r="D31" s="177" t="s">
        <v>575</v>
      </c>
      <c r="F31" s="238"/>
    </row>
    <row r="32" customFormat="false" ht="12.65" hidden="false" customHeight="false" outlineLevel="1" collapsed="false">
      <c r="A32" s="165" t="s">
        <v>576</v>
      </c>
      <c r="B32" s="210" t="s">
        <v>578</v>
      </c>
      <c r="C32" s="179" t="n">
        <v>9</v>
      </c>
      <c r="D32" s="237" t="n">
        <v>419680.814450625</v>
      </c>
      <c r="F32" s="180" t="n">
        <f aca="false">C32*D32</f>
        <v>3777127.33005563</v>
      </c>
    </row>
    <row r="33" customFormat="false" ht="12.65" hidden="false" customHeight="false" outlineLevel="1" collapsed="false">
      <c r="B33" s="165" t="s">
        <v>259</v>
      </c>
      <c r="C33" s="179" t="n">
        <v>9</v>
      </c>
      <c r="D33" s="237" t="n">
        <v>64027.0434091641</v>
      </c>
      <c r="F33" s="180" t="n">
        <f aca="false">C33*D33</f>
        <v>576243.390682477</v>
      </c>
    </row>
    <row r="34" customFormat="false" ht="12.65" hidden="false" customHeight="false" outlineLevel="1" collapsed="false">
      <c r="B34" s="165" t="s">
        <v>72</v>
      </c>
      <c r="C34" s="130" t="n">
        <v>9</v>
      </c>
      <c r="D34" s="237" t="n">
        <v>51360.6880139063</v>
      </c>
      <c r="F34" s="180" t="n">
        <f aca="false">C34*D34</f>
        <v>462246.192125156</v>
      </c>
    </row>
    <row r="35" customFormat="false" ht="12.65" hidden="false" customHeight="false" outlineLevel="1" collapsed="false">
      <c r="C35" s="130"/>
      <c r="D35" s="237"/>
      <c r="F35" s="197" t="n">
        <f aca="false">SUM(F32:F34)</f>
        <v>4815616.91286326</v>
      </c>
    </row>
    <row r="36" customFormat="false" ht="12.65" hidden="false" customHeight="false" outlineLevel="1" collapsed="false">
      <c r="C36" s="130"/>
      <c r="D36" s="237"/>
    </row>
    <row r="37" customFormat="false" ht="12.65" hidden="false" customHeight="false" outlineLevel="1" collapsed="false">
      <c r="A37" s="239" t="s">
        <v>579</v>
      </c>
      <c r="B37" s="190"/>
      <c r="C37" s="191"/>
      <c r="D37" s="190"/>
      <c r="E37" s="190"/>
    </row>
    <row r="38" customFormat="false" ht="13" hidden="false" customHeight="false" outlineLevel="1" collapsed="false">
      <c r="A38" s="240" t="s">
        <v>558</v>
      </c>
      <c r="B38" s="238"/>
      <c r="C38" s="238"/>
      <c r="D38" s="177" t="s">
        <v>580</v>
      </c>
      <c r="E38" s="241" t="n">
        <v>648250.465078125</v>
      </c>
      <c r="F38" s="197" t="n">
        <f aca="false">E38</f>
        <v>648250.465078125</v>
      </c>
    </row>
    <row r="39" customFormat="false" ht="12.65" hidden="false" customHeight="false" outlineLevel="1" collapsed="false">
      <c r="A39" s="240"/>
      <c r="B39" s="238"/>
      <c r="C39" s="238"/>
      <c r="D39" s="238"/>
      <c r="E39" s="180"/>
    </row>
    <row r="40" customFormat="false" ht="12.65" hidden="false" customHeight="false" outlineLevel="1" collapsed="false">
      <c r="A40" s="239" t="s">
        <v>581</v>
      </c>
      <c r="B40" s="190"/>
      <c r="C40" s="191"/>
      <c r="D40" s="190"/>
      <c r="E40" s="190"/>
    </row>
    <row r="41" customFormat="false" ht="12.65" hidden="false" customHeight="false" outlineLevel="1" collapsed="false">
      <c r="A41" s="132"/>
      <c r="B41" s="132"/>
      <c r="F41" s="242" t="s">
        <v>482</v>
      </c>
    </row>
    <row r="42" customFormat="false" ht="12.65" hidden="false" customHeight="false" outlineLevel="1" collapsed="false">
      <c r="A42" s="177" t="s">
        <v>483</v>
      </c>
      <c r="B42" s="177" t="s">
        <v>582</v>
      </c>
      <c r="C42" s="177" t="s">
        <v>583</v>
      </c>
      <c r="D42" s="243" t="s">
        <v>584</v>
      </c>
      <c r="E42" s="185" t="s">
        <v>487</v>
      </c>
      <c r="F42" s="186" t="n">
        <v>2.75030091</v>
      </c>
    </row>
    <row r="43" customFormat="false" ht="12.65" hidden="false" customHeight="false" outlineLevel="1" collapsed="false">
      <c r="A43" s="188" t="s">
        <v>561</v>
      </c>
      <c r="B43" s="203" t="s">
        <v>559</v>
      </c>
      <c r="C43" s="187" t="n">
        <v>16</v>
      </c>
      <c r="D43" s="244" t="n">
        <v>4000</v>
      </c>
      <c r="E43" s="187" t="n">
        <f aca="false">C43*D43</f>
        <v>64000</v>
      </c>
      <c r="F43" s="180" t="n">
        <f aca="false">E43*F$42</f>
        <v>176019.25824</v>
      </c>
    </row>
    <row r="44" customFormat="false" ht="12.65" hidden="false" customHeight="false" outlineLevel="1" collapsed="false">
      <c r="A44" s="188" t="s">
        <v>563</v>
      </c>
      <c r="B44" s="203" t="s">
        <v>562</v>
      </c>
      <c r="C44" s="187" t="n">
        <v>6</v>
      </c>
      <c r="D44" s="244" t="n">
        <v>2000</v>
      </c>
      <c r="E44" s="187" t="n">
        <f aca="false">C44*D44</f>
        <v>12000</v>
      </c>
      <c r="F44" s="180" t="n">
        <f aca="false">E44*F$42</f>
        <v>33003.61092</v>
      </c>
    </row>
    <row r="45" customFormat="false" ht="12.65" hidden="false" customHeight="false" outlineLevel="1" collapsed="false">
      <c r="A45" s="188" t="s">
        <v>565</v>
      </c>
      <c r="B45" s="203" t="s">
        <v>564</v>
      </c>
      <c r="C45" s="187" t="n">
        <v>20</v>
      </c>
      <c r="D45" s="244" t="n">
        <v>3000</v>
      </c>
      <c r="E45" s="187" t="n">
        <f aca="false">C45*D45</f>
        <v>60000</v>
      </c>
      <c r="F45" s="180" t="n">
        <f aca="false">E45*F$42</f>
        <v>165018.0546</v>
      </c>
    </row>
    <row r="46" customFormat="false" ht="12.65" hidden="false" customHeight="false" outlineLevel="1" collapsed="false">
      <c r="A46" s="188" t="s">
        <v>317</v>
      </c>
      <c r="B46" s="203" t="s">
        <v>559</v>
      </c>
      <c r="C46" s="187" t="n">
        <v>4</v>
      </c>
      <c r="D46" s="244" t="n">
        <v>48100</v>
      </c>
      <c r="E46" s="187" t="n">
        <f aca="false">C46*D46</f>
        <v>192400</v>
      </c>
      <c r="F46" s="180" t="n">
        <f aca="false">E46*F$42</f>
        <v>529157.895084</v>
      </c>
    </row>
    <row r="47" s="165" customFormat="true" ht="12.65" hidden="false" customHeight="false" outlineLevel="1" collapsed="false">
      <c r="B47" s="132"/>
      <c r="E47" s="245" t="s">
        <v>585</v>
      </c>
      <c r="F47" s="197" t="n">
        <f aca="false">SUM(F43:F46)</f>
        <v>903198.818844</v>
      </c>
    </row>
    <row r="48" s="165" customFormat="true" ht="12.65" hidden="false" customHeight="false" outlineLevel="1" collapsed="false">
      <c r="B48" s="132"/>
      <c r="E48" s="245"/>
    </row>
    <row r="49" customFormat="false" ht="12.65" hidden="false" customHeight="false" outlineLevel="1" collapsed="false">
      <c r="A49" s="239" t="s">
        <v>586</v>
      </c>
      <c r="B49" s="190"/>
      <c r="C49" s="191"/>
      <c r="D49" s="190"/>
      <c r="E49" s="190"/>
    </row>
    <row r="50" customFormat="false" ht="12.65" hidden="false" customHeight="false" outlineLevel="1" collapsed="false">
      <c r="A50" s="177" t="s">
        <v>483</v>
      </c>
      <c r="B50" s="177" t="s">
        <v>582</v>
      </c>
      <c r="C50" s="177" t="s">
        <v>583</v>
      </c>
      <c r="D50" s="177" t="s">
        <v>587</v>
      </c>
    </row>
    <row r="51" customFormat="false" ht="12.65" hidden="false" customHeight="false" outlineLevel="1" collapsed="false">
      <c r="A51" s="188" t="s">
        <v>561</v>
      </c>
      <c r="B51" s="203" t="s">
        <v>559</v>
      </c>
      <c r="C51" s="187" t="n">
        <v>16</v>
      </c>
      <c r="D51" s="180" t="n">
        <v>12456.0461025</v>
      </c>
      <c r="F51" s="180" t="n">
        <f aca="false">C51*D51</f>
        <v>199296.73764</v>
      </c>
    </row>
    <row r="52" customFormat="false" ht="12.65" hidden="false" customHeight="false" outlineLevel="1" collapsed="false">
      <c r="A52" s="188" t="s">
        <v>563</v>
      </c>
      <c r="B52" s="203" t="s">
        <v>562</v>
      </c>
      <c r="C52" s="187" t="n">
        <v>6</v>
      </c>
      <c r="D52" s="180" t="n">
        <v>6206.339412</v>
      </c>
      <c r="E52" s="187"/>
      <c r="F52" s="180" t="n">
        <f aca="false">C52*D52</f>
        <v>37238.036472</v>
      </c>
    </row>
    <row r="53" customFormat="false" ht="12.65" hidden="false" customHeight="false" outlineLevel="1" collapsed="false">
      <c r="A53" s="188" t="s">
        <v>565</v>
      </c>
      <c r="B53" s="203" t="s">
        <v>564</v>
      </c>
      <c r="C53" s="187" t="n">
        <v>20</v>
      </c>
      <c r="D53" s="180" t="n">
        <v>9309.509118</v>
      </c>
      <c r="E53" s="187"/>
      <c r="F53" s="180" t="n">
        <f aca="false">C53*D53</f>
        <v>186190.18236</v>
      </c>
    </row>
    <row r="54" customFormat="false" ht="12.65" hidden="false" customHeight="false" outlineLevel="1" collapsed="false">
      <c r="A54" s="188" t="s">
        <v>317</v>
      </c>
      <c r="B54" s="203" t="s">
        <v>559</v>
      </c>
      <c r="C54" s="187" t="n">
        <v>4</v>
      </c>
      <c r="D54" s="180" t="n">
        <v>171289.908255375</v>
      </c>
      <c r="E54" s="187"/>
      <c r="F54" s="180" t="n">
        <f aca="false">C54*D54</f>
        <v>685159.6330215</v>
      </c>
    </row>
    <row r="55" s="165" customFormat="true" ht="12.65" hidden="false" customHeight="false" outlineLevel="1" collapsed="false">
      <c r="B55" s="132"/>
      <c r="F55" s="197" t="n">
        <f aca="false">SUM(F51:F54)</f>
        <v>1107884.5894935</v>
      </c>
    </row>
    <row r="56" s="165" customFormat="true" ht="12.65" hidden="false" customHeight="false" outlineLevel="1" collapsed="false">
      <c r="B56" s="132"/>
    </row>
    <row r="57" customFormat="false" ht="12.65" hidden="false" customHeight="false" outlineLevel="1" collapsed="false">
      <c r="A57" s="239" t="s">
        <v>588</v>
      </c>
      <c r="B57" s="190"/>
      <c r="C57" s="191"/>
      <c r="D57" s="190"/>
      <c r="E57" s="190"/>
    </row>
    <row r="58" customFormat="false" ht="12.65" hidden="false" customHeight="false" outlineLevel="1" collapsed="false">
      <c r="F58" s="242" t="s">
        <v>493</v>
      </c>
    </row>
    <row r="59" customFormat="false" ht="12.65" hidden="false" customHeight="false" outlineLevel="1" collapsed="false">
      <c r="A59" s="177" t="s">
        <v>483</v>
      </c>
      <c r="B59" s="177" t="s">
        <v>582</v>
      </c>
      <c r="C59" s="177" t="s">
        <v>485</v>
      </c>
      <c r="D59" s="177" t="s">
        <v>589</v>
      </c>
      <c r="E59" s="177" t="s">
        <v>495</v>
      </c>
      <c r="F59" s="193" t="n">
        <v>1617.840417375</v>
      </c>
    </row>
    <row r="60" customFormat="false" ht="12.65" hidden="false" customHeight="false" outlineLevel="1" collapsed="false">
      <c r="A60" s="187" t="s">
        <v>560</v>
      </c>
      <c r="B60" s="246" t="s">
        <v>560</v>
      </c>
      <c r="C60" s="247" t="n">
        <v>8</v>
      </c>
      <c r="D60" s="248" t="n">
        <v>8.8</v>
      </c>
      <c r="E60" s="179" t="n">
        <f aca="false">C60*D60</f>
        <v>70.4</v>
      </c>
      <c r="F60" s="180" t="n">
        <f aca="false">E60*F$59</f>
        <v>113895.9653832</v>
      </c>
    </row>
    <row r="61" customFormat="false" ht="12.65" hidden="false" customHeight="false" outlineLevel="1" collapsed="false">
      <c r="A61" s="187" t="s">
        <v>561</v>
      </c>
      <c r="B61" s="246" t="s">
        <v>561</v>
      </c>
      <c r="C61" s="247" t="n">
        <v>16</v>
      </c>
      <c r="D61" s="248" t="n">
        <v>8</v>
      </c>
      <c r="E61" s="179" t="n">
        <f aca="false">C61*D61</f>
        <v>128</v>
      </c>
      <c r="F61" s="180" t="n">
        <f aca="false">E61*F$59</f>
        <v>207083.573424</v>
      </c>
    </row>
    <row r="62" customFormat="false" ht="12.65" hidden="false" customHeight="false" outlineLevel="1" collapsed="false">
      <c r="A62" s="187" t="s">
        <v>563</v>
      </c>
      <c r="B62" s="246" t="s">
        <v>563</v>
      </c>
      <c r="C62" s="247" t="n">
        <v>6</v>
      </c>
      <c r="D62" s="248" t="n">
        <v>8</v>
      </c>
      <c r="E62" s="179" t="n">
        <f aca="false">C62*D62</f>
        <v>48</v>
      </c>
      <c r="F62" s="180" t="n">
        <f aca="false">E62*F$59</f>
        <v>77656.340034</v>
      </c>
    </row>
    <row r="63" customFormat="false" ht="12.65" hidden="false" customHeight="false" outlineLevel="1" collapsed="false">
      <c r="A63" s="187" t="s">
        <v>565</v>
      </c>
      <c r="B63" s="246" t="s">
        <v>565</v>
      </c>
      <c r="C63" s="247" t="n">
        <v>20</v>
      </c>
      <c r="D63" s="248" t="n">
        <v>9.6</v>
      </c>
      <c r="E63" s="179" t="n">
        <f aca="false">C63*D63</f>
        <v>192</v>
      </c>
      <c r="F63" s="180" t="n">
        <f aca="false">E63*F$59</f>
        <v>310625.360136</v>
      </c>
    </row>
    <row r="64" customFormat="false" ht="12.65" hidden="false" customHeight="false" outlineLevel="1" collapsed="false">
      <c r="A64" s="187" t="s">
        <v>317</v>
      </c>
      <c r="B64" s="246" t="s">
        <v>317</v>
      </c>
      <c r="C64" s="247" t="n">
        <v>4</v>
      </c>
      <c r="D64" s="248" t="n">
        <v>41.5</v>
      </c>
      <c r="E64" s="179" t="n">
        <f aca="false">C64*D64</f>
        <v>166</v>
      </c>
      <c r="F64" s="180" t="n">
        <f aca="false">E64*F$59</f>
        <v>268561.50928425</v>
      </c>
    </row>
    <row r="65" customFormat="false" ht="12.65" hidden="false" customHeight="false" outlineLevel="1" collapsed="false">
      <c r="A65" s="187" t="s">
        <v>590</v>
      </c>
      <c r="B65" s="246" t="s">
        <v>287</v>
      </c>
      <c r="C65" s="247" t="n">
        <v>1</v>
      </c>
      <c r="D65" s="248" t="n">
        <v>36</v>
      </c>
      <c r="E65" s="179" t="n">
        <f aca="false">C65*D65</f>
        <v>36</v>
      </c>
      <c r="F65" s="180" t="n">
        <f aca="false">E65*F$59</f>
        <v>58242.2550255</v>
      </c>
    </row>
    <row r="66" s="165" customFormat="true" ht="12.65" hidden="false" customHeight="false" outlineLevel="1" collapsed="false">
      <c r="B66" s="132"/>
      <c r="F66" s="197" t="n">
        <f aca="false">SUM(F60:F65)</f>
        <v>1036065.00328695</v>
      </c>
    </row>
    <row r="67" customFormat="false" ht="12.65" hidden="false" customHeight="false" outlineLevel="1" collapsed="false"/>
    <row r="68" customFormat="false" ht="12.65" hidden="false" customHeight="false" outlineLevel="1" collapsed="false">
      <c r="A68" s="239" t="s">
        <v>591</v>
      </c>
      <c r="B68" s="190"/>
      <c r="C68" s="191"/>
      <c r="D68" s="190"/>
      <c r="E68" s="190"/>
    </row>
    <row r="69" customFormat="false" ht="24" hidden="false" customHeight="false" outlineLevel="1" collapsed="false">
      <c r="A69" s="177" t="s">
        <v>483</v>
      </c>
      <c r="B69" s="177" t="s">
        <v>500</v>
      </c>
      <c r="C69" s="177" t="s">
        <v>501</v>
      </c>
      <c r="D69" s="177" t="s">
        <v>48</v>
      </c>
      <c r="E69" s="249" t="s">
        <v>149</v>
      </c>
    </row>
    <row r="70" customFormat="false" ht="12.65" hidden="false" customHeight="false" outlineLevel="1" collapsed="false">
      <c r="A70" s="187" t="s">
        <v>560</v>
      </c>
      <c r="B70" s="203" t="s">
        <v>559</v>
      </c>
      <c r="C70" s="182" t="n">
        <v>8</v>
      </c>
      <c r="D70" s="180" t="n">
        <v>403269.403820063</v>
      </c>
      <c r="E70" s="180" t="n">
        <v>24695.2558125</v>
      </c>
      <c r="F70" s="180" t="n">
        <f aca="false">C70*(D70+E70)</f>
        <v>3423717.2770605</v>
      </c>
    </row>
    <row r="71" customFormat="false" ht="12.65" hidden="false" customHeight="false" outlineLevel="1" collapsed="false">
      <c r="A71" s="187" t="s">
        <v>561</v>
      </c>
      <c r="B71" s="203" t="s">
        <v>559</v>
      </c>
      <c r="C71" s="182" t="n">
        <v>16</v>
      </c>
      <c r="D71" s="180" t="n">
        <v>44878.8783515625</v>
      </c>
      <c r="E71" s="180" t="n">
        <v>12347.62790625</v>
      </c>
      <c r="F71" s="180" t="n">
        <f aca="false">C71*(D71+E71)</f>
        <v>915624.100125</v>
      </c>
    </row>
    <row r="72" customFormat="false" ht="12.65" hidden="false" customHeight="false" outlineLevel="1" collapsed="false">
      <c r="A72" s="187" t="s">
        <v>563</v>
      </c>
      <c r="B72" s="203" t="s">
        <v>562</v>
      </c>
      <c r="C72" s="182" t="n">
        <v>6</v>
      </c>
      <c r="D72" s="180" t="n">
        <v>53854.654021875</v>
      </c>
      <c r="E72" s="180" t="n">
        <v>18521.441859375</v>
      </c>
      <c r="F72" s="180" t="n">
        <f aca="false">C72*(D72+E72)</f>
        <v>434256.5752875</v>
      </c>
    </row>
    <row r="73" customFormat="false" ht="12.65" hidden="false" customHeight="false" outlineLevel="1" collapsed="false">
      <c r="A73" s="187" t="s">
        <v>565</v>
      </c>
      <c r="B73" s="203" t="s">
        <v>564</v>
      </c>
      <c r="C73" s="182" t="n">
        <v>20</v>
      </c>
      <c r="D73" s="180" t="n">
        <v>13880.8650645</v>
      </c>
      <c r="E73" s="180" t="n">
        <v>0</v>
      </c>
      <c r="F73" s="180" t="n">
        <f aca="false">C73*(D73+E73)</f>
        <v>277617.30129</v>
      </c>
    </row>
    <row r="74" customFormat="false" ht="12.65" hidden="false" customHeight="false" outlineLevel="1" collapsed="false">
      <c r="A74" s="187" t="s">
        <v>592</v>
      </c>
      <c r="B74" s="203" t="s">
        <v>593</v>
      </c>
      <c r="C74" s="182" t="n">
        <v>0</v>
      </c>
      <c r="D74" s="180" t="n">
        <v>0</v>
      </c>
      <c r="E74" s="180"/>
      <c r="F74" s="180" t="n">
        <f aca="false">C74*(D74+E74)</f>
        <v>0</v>
      </c>
    </row>
    <row r="75" customFormat="false" ht="12.65" hidden="false" customHeight="false" outlineLevel="1" collapsed="false">
      <c r="A75" s="187" t="s">
        <v>594</v>
      </c>
      <c r="B75" s="203" t="s">
        <v>595</v>
      </c>
      <c r="C75" s="182" t="n">
        <v>0</v>
      </c>
      <c r="D75" s="180" t="n">
        <v>0</v>
      </c>
      <c r="E75" s="180"/>
      <c r="F75" s="180" t="n">
        <f aca="false">C75*(D75+E75)</f>
        <v>0</v>
      </c>
    </row>
    <row r="76" customFormat="false" ht="12.65" hidden="false" customHeight="false" outlineLevel="1" collapsed="false">
      <c r="F76" s="197" t="n">
        <f aca="false">SUM(F70:F75)</f>
        <v>5051215.253763</v>
      </c>
    </row>
    <row r="77" customFormat="false" ht="12.65" hidden="false" customHeight="false" outlineLevel="1" collapsed="false"/>
    <row r="78" customFormat="false" ht="12.65" hidden="false" customHeight="false" outlineLevel="1" collapsed="false">
      <c r="A78" s="239" t="s">
        <v>596</v>
      </c>
      <c r="B78" s="190"/>
      <c r="C78" s="191"/>
      <c r="D78" s="190"/>
      <c r="E78" s="190"/>
    </row>
    <row r="79" customFormat="false" ht="12.65" hidden="false" customHeight="false" outlineLevel="1" collapsed="false">
      <c r="A79" s="177" t="s">
        <v>483</v>
      </c>
      <c r="B79" s="177" t="s">
        <v>500</v>
      </c>
      <c r="C79" s="177" t="s">
        <v>501</v>
      </c>
      <c r="D79" s="177" t="s">
        <v>49</v>
      </c>
      <c r="F79" s="221"/>
    </row>
    <row r="80" customFormat="false" ht="12.65" hidden="false" customHeight="false" outlineLevel="1" collapsed="false">
      <c r="A80" s="187" t="s">
        <v>560</v>
      </c>
      <c r="B80" s="203" t="s">
        <v>559</v>
      </c>
      <c r="C80" s="187" t="n">
        <v>8</v>
      </c>
      <c r="D80" s="180" t="n">
        <v>18521.441859375</v>
      </c>
      <c r="F80" s="180" t="n">
        <f aca="false">C80*D80</f>
        <v>148171.534875</v>
      </c>
    </row>
    <row r="81" customFormat="false" ht="12.65" hidden="false" customHeight="false" outlineLevel="1" collapsed="false">
      <c r="A81" s="187" t="s">
        <v>561</v>
      </c>
      <c r="B81" s="203" t="s">
        <v>559</v>
      </c>
      <c r="C81" s="187" t="n">
        <v>16</v>
      </c>
      <c r="D81" s="180" t="n">
        <v>18521.441859375</v>
      </c>
      <c r="F81" s="180" t="n">
        <f aca="false">C81*D81</f>
        <v>296343.06975</v>
      </c>
    </row>
    <row r="82" customFormat="false" ht="12.65" hidden="false" customHeight="false" outlineLevel="1" collapsed="false">
      <c r="A82" s="187" t="s">
        <v>563</v>
      </c>
      <c r="B82" s="203" t="s">
        <v>562</v>
      </c>
      <c r="C82" s="187" t="n">
        <v>6</v>
      </c>
      <c r="D82" s="180" t="n">
        <v>4939.0511625</v>
      </c>
      <c r="F82" s="180" t="n">
        <f aca="false">C82*D82</f>
        <v>29634.306975</v>
      </c>
    </row>
    <row r="83" customFormat="false" ht="12.65" hidden="false" customHeight="false" outlineLevel="1" collapsed="false">
      <c r="A83" s="187" t="s">
        <v>565</v>
      </c>
      <c r="B83" s="203" t="s">
        <v>564</v>
      </c>
      <c r="C83" s="187" t="n">
        <v>20</v>
      </c>
      <c r="D83" s="180" t="n">
        <v>16039.869811875</v>
      </c>
      <c r="F83" s="180" t="n">
        <f aca="false">C83*D83</f>
        <v>320797.3962375</v>
      </c>
    </row>
    <row r="84" customFormat="false" ht="12.65" hidden="false" customHeight="false" outlineLevel="1" collapsed="false">
      <c r="A84" s="187" t="s">
        <v>597</v>
      </c>
      <c r="B84" s="203"/>
      <c r="C84" s="187" t="n">
        <v>4</v>
      </c>
      <c r="D84" s="180" t="n">
        <v>39865.370761125</v>
      </c>
      <c r="F84" s="180" t="n">
        <f aca="false">C84*D84</f>
        <v>159461.4830445</v>
      </c>
    </row>
    <row r="85" s="165" customFormat="true" ht="12.65" hidden="false" customHeight="false" outlineLevel="1" collapsed="false">
      <c r="F85" s="250" t="n">
        <f aca="false">SUM(F80:F84)</f>
        <v>954407.790882</v>
      </c>
    </row>
    <row r="86" s="165" customFormat="true" ht="12.65" hidden="false" customHeight="false" outlineLevel="1" collapsed="false">
      <c r="F86" s="221"/>
    </row>
    <row r="87" customFormat="false" ht="12.65" hidden="false" customHeight="false" outlineLevel="1" collapsed="false">
      <c r="A87" s="239" t="s">
        <v>598</v>
      </c>
      <c r="B87" s="190"/>
      <c r="C87" s="191"/>
      <c r="D87" s="190"/>
      <c r="E87" s="190"/>
    </row>
    <row r="88" customFormat="false" ht="12.65" hidden="false" customHeight="false" outlineLevel="1" collapsed="false">
      <c r="A88" s="177" t="s">
        <v>483</v>
      </c>
      <c r="C88" s="177" t="s">
        <v>501</v>
      </c>
      <c r="D88" s="177" t="s">
        <v>599</v>
      </c>
    </row>
    <row r="89" customFormat="false" ht="12.65" hidden="false" customHeight="false" outlineLevel="1" collapsed="false">
      <c r="A89" s="187" t="s">
        <v>287</v>
      </c>
      <c r="B89" s="246" t="s">
        <v>559</v>
      </c>
      <c r="C89" s="187" t="n">
        <v>1</v>
      </c>
      <c r="D89" s="180" t="n">
        <v>1391786.0689005</v>
      </c>
      <c r="F89" s="197" t="n">
        <f aca="false">C89*D89</f>
        <v>1391786.0689005</v>
      </c>
    </row>
    <row r="90" customFormat="false" ht="12.65" hidden="false" customHeight="false" outlineLevel="1" collapsed="false">
      <c r="A90" s="187"/>
      <c r="B90" s="203"/>
      <c r="C90" s="187"/>
      <c r="D90" s="180"/>
    </row>
    <row r="91" customFormat="false" ht="12.65" hidden="false" customHeight="false" outlineLevel="1" collapsed="false">
      <c r="A91" s="239" t="s">
        <v>600</v>
      </c>
      <c r="B91" s="190"/>
      <c r="C91" s="191"/>
      <c r="D91" s="190"/>
      <c r="E91" s="190"/>
    </row>
    <row r="92" customFormat="false" ht="12.65" hidden="false" customHeight="false" outlineLevel="1" collapsed="false">
      <c r="A92" s="177" t="s">
        <v>483</v>
      </c>
      <c r="C92" s="177" t="s">
        <v>501</v>
      </c>
      <c r="D92" s="177" t="s">
        <v>48</v>
      </c>
      <c r="E92" s="177" t="s">
        <v>49</v>
      </c>
    </row>
    <row r="93" customFormat="false" ht="12.65" hidden="false" customHeight="false" outlineLevel="1" collapsed="false">
      <c r="A93" s="187" t="s">
        <v>566</v>
      </c>
      <c r="B93" s="203" t="s">
        <v>559</v>
      </c>
      <c r="C93" s="182" t="n">
        <v>10</v>
      </c>
      <c r="D93" s="180" t="n">
        <v>60194.987204625</v>
      </c>
      <c r="E93" s="180" t="n">
        <v>120389.97440925</v>
      </c>
      <c r="F93" s="197" t="n">
        <f aca="false">C93*(D93+E93)</f>
        <v>1805849.61613875</v>
      </c>
    </row>
    <row r="94" customFormat="false" ht="12.65" hidden="false" customHeight="false" outlineLevel="1" collapsed="false">
      <c r="A94" s="171"/>
      <c r="B94" s="171"/>
      <c r="C94" s="172"/>
      <c r="D94" s="171"/>
      <c r="E94" s="171"/>
    </row>
    <row r="95" customFormat="false" ht="13" hidden="false" customHeight="false" outlineLevel="1" collapsed="false">
      <c r="A95" s="251" t="s">
        <v>601</v>
      </c>
      <c r="B95" s="174"/>
      <c r="C95" s="175"/>
      <c r="D95" s="174"/>
      <c r="E95" s="174"/>
    </row>
    <row r="96" customFormat="false" ht="12.65" hidden="false" customHeight="false" outlineLevel="1" collapsed="false">
      <c r="A96" s="177" t="s">
        <v>483</v>
      </c>
      <c r="C96" s="177" t="s">
        <v>501</v>
      </c>
      <c r="D96" s="177" t="s">
        <v>174</v>
      </c>
    </row>
    <row r="97" customFormat="false" ht="12.65" hidden="false" customHeight="false" outlineLevel="1" collapsed="false">
      <c r="A97" s="187" t="s">
        <v>287</v>
      </c>
      <c r="B97" s="203" t="s">
        <v>559</v>
      </c>
      <c r="C97" s="187" t="n">
        <v>1</v>
      </c>
      <c r="D97" s="180" t="n">
        <v>185214.41859375</v>
      </c>
      <c r="F97" s="197" t="n">
        <f aca="false">C97*D97</f>
        <v>185214.41859375</v>
      </c>
    </row>
    <row r="98" customFormat="false" ht="12.65" hidden="false" customHeight="false" outlineLevel="1" collapsed="false">
      <c r="A98" s="171"/>
      <c r="B98" s="171"/>
      <c r="C98" s="172"/>
      <c r="D98" s="171"/>
      <c r="E98" s="171"/>
    </row>
    <row r="99" customFormat="false" ht="12.65" hidden="false" customHeight="false" outlineLevel="1" collapsed="false">
      <c r="A99" s="235" t="s">
        <v>602</v>
      </c>
      <c r="B99" s="174"/>
      <c r="C99" s="175"/>
      <c r="D99" s="174"/>
      <c r="E99" s="174"/>
    </row>
    <row r="100" customFormat="false" ht="12.65" hidden="false" customHeight="false" outlineLevel="1" collapsed="false">
      <c r="A100" s="177" t="s">
        <v>483</v>
      </c>
      <c r="C100" s="177" t="s">
        <v>501</v>
      </c>
      <c r="D100" s="177" t="s">
        <v>48</v>
      </c>
      <c r="E100" s="177" t="s">
        <v>49</v>
      </c>
    </row>
    <row r="101" customFormat="false" ht="12.65" hidden="false" customHeight="false" outlineLevel="1" collapsed="false">
      <c r="A101" s="187" t="s">
        <v>568</v>
      </c>
      <c r="B101" s="203" t="s">
        <v>567</v>
      </c>
      <c r="C101" s="182" t="n">
        <v>48000</v>
      </c>
      <c r="D101" s="252" t="n">
        <v>4.9390511625</v>
      </c>
      <c r="E101" s="252" t="n">
        <v>6.173813953125</v>
      </c>
      <c r="F101" s="187" t="n">
        <f aca="false">C101*(D101+E101)</f>
        <v>533417.52555</v>
      </c>
    </row>
    <row r="102" customFormat="false" ht="12.65" hidden="false" customHeight="false" outlineLevel="1" collapsed="false">
      <c r="A102" s="187" t="s">
        <v>569</v>
      </c>
      <c r="B102" s="203" t="s">
        <v>567</v>
      </c>
      <c r="C102" s="182" t="n">
        <v>4800</v>
      </c>
      <c r="D102" s="252" t="n">
        <v>3.704288371875</v>
      </c>
      <c r="E102" s="252" t="n">
        <v>49.390511625</v>
      </c>
      <c r="F102" s="187" t="n">
        <f aca="false">C102*(D102+E102)</f>
        <v>254855.039985</v>
      </c>
    </row>
    <row r="103" customFormat="false" ht="12.65" hidden="false" customHeight="false" outlineLevel="1" collapsed="false">
      <c r="A103" s="187" t="s">
        <v>571</v>
      </c>
      <c r="B103" s="203" t="s">
        <v>570</v>
      </c>
      <c r="C103" s="182" t="n">
        <v>480</v>
      </c>
      <c r="D103" s="252" t="n">
        <v>61.436977875</v>
      </c>
      <c r="E103" s="252" t="n">
        <v>246.952558125</v>
      </c>
      <c r="F103" s="187" t="n">
        <f aca="false">C103*(D103+E103)</f>
        <v>148026.97728</v>
      </c>
    </row>
    <row r="104" customFormat="false" ht="12.65" hidden="false" customHeight="false" outlineLevel="1" collapsed="false">
      <c r="A104" s="187"/>
      <c r="B104" s="203"/>
      <c r="C104" s="182"/>
      <c r="D104" s="180"/>
      <c r="E104" s="180"/>
      <c r="F104" s="197" t="n">
        <f aca="false">SUM(F101:F103)</f>
        <v>936299.542815</v>
      </c>
    </row>
    <row r="105" customFormat="false" ht="12.65" hidden="false" customHeight="false" outlineLevel="0" collapsed="false"/>
    <row r="106" customFormat="false" ht="12.65" hidden="false" customHeight="false" outlineLevel="0" collapsed="false">
      <c r="A106" s="253"/>
      <c r="B106" s="253"/>
      <c r="C106" s="254"/>
      <c r="D106" s="253"/>
      <c r="E106" s="253"/>
      <c r="F106" s="253"/>
    </row>
    <row r="107" s="165" customFormat="true" ht="13" hidden="false" customHeight="false" outlineLevel="0" collapsed="false">
      <c r="D107" s="218" t="s">
        <v>532</v>
      </c>
      <c r="E107" s="219" t="n">
        <v>0.055</v>
      </c>
      <c r="F107" s="187" t="n">
        <f aca="false">SUM(F$110:F$121)*E107</f>
        <v>1055049.65636595</v>
      </c>
    </row>
    <row r="108" s="165" customFormat="true" ht="35" hidden="false" customHeight="false" outlineLevel="0" collapsed="false">
      <c r="D108" s="218" t="s">
        <v>533</v>
      </c>
      <c r="E108" s="219" t="n">
        <v>0.03</v>
      </c>
      <c r="F108" s="187" t="n">
        <f aca="false">SUM(F$110:F$121)*E108</f>
        <v>575481.630745062</v>
      </c>
    </row>
    <row r="109" customFormat="false" ht="24" hidden="false" customHeight="false" outlineLevel="0" collapsed="false">
      <c r="C109" s="240"/>
      <c r="D109" s="218" t="s">
        <v>534</v>
      </c>
      <c r="E109" s="219" t="n">
        <v>0.015</v>
      </c>
      <c r="F109" s="187" t="n">
        <f aca="false">SUM(F$110:F$121)*E109</f>
        <v>287740.815372531</v>
      </c>
    </row>
    <row r="110" s="165" customFormat="true" ht="24" hidden="false" customHeight="false" outlineLevel="0" collapsed="false">
      <c r="D110" s="240" t="s">
        <v>572</v>
      </c>
      <c r="E110" s="255"/>
      <c r="F110" s="187" t="n">
        <f aca="false">F28</f>
        <v>346932.544176563</v>
      </c>
    </row>
    <row r="111" s="165" customFormat="true" ht="13" hidden="false" customHeight="false" outlineLevel="0" collapsed="false">
      <c r="D111" s="240" t="s">
        <v>576</v>
      </c>
      <c r="E111" s="256"/>
      <c r="F111" s="187" t="n">
        <f aca="false">F35</f>
        <v>4815616.91286326</v>
      </c>
    </row>
    <row r="112" s="165" customFormat="true" ht="13" hidden="false" customHeight="false" outlineLevel="0" collapsed="false">
      <c r="D112" s="240" t="s">
        <v>603</v>
      </c>
      <c r="E112" s="256"/>
      <c r="F112" s="187" t="n">
        <f aca="false">F38</f>
        <v>648250.465078125</v>
      </c>
    </row>
    <row r="113" s="165" customFormat="true" ht="24" hidden="false" customHeight="false" outlineLevel="0" collapsed="false">
      <c r="D113" s="240" t="s">
        <v>581</v>
      </c>
      <c r="E113" s="256"/>
      <c r="F113" s="187" t="n">
        <f aca="false">F47</f>
        <v>903198.818844</v>
      </c>
    </row>
    <row r="114" s="165" customFormat="true" ht="24" hidden="false" customHeight="false" outlineLevel="0" collapsed="false">
      <c r="D114" s="240" t="s">
        <v>604</v>
      </c>
      <c r="E114" s="256"/>
      <c r="F114" s="187" t="n">
        <f aca="false">F55</f>
        <v>1107884.5894935</v>
      </c>
    </row>
    <row r="115" s="165" customFormat="true" ht="13" hidden="false" customHeight="false" outlineLevel="0" collapsed="false">
      <c r="D115" s="240" t="s">
        <v>605</v>
      </c>
      <c r="E115" s="256"/>
      <c r="F115" s="187" t="n">
        <f aca="false">F66</f>
        <v>1036065.00328695</v>
      </c>
    </row>
    <row r="116" s="165" customFormat="true" ht="13" hidden="false" customHeight="false" outlineLevel="0" collapsed="false">
      <c r="D116" s="240" t="s">
        <v>591</v>
      </c>
      <c r="E116" s="256"/>
      <c r="F116" s="187" t="n">
        <f aca="false">F76</f>
        <v>5051215.253763</v>
      </c>
    </row>
    <row r="117" s="165" customFormat="true" ht="24" hidden="false" customHeight="false" outlineLevel="0" collapsed="false">
      <c r="D117" s="240" t="s">
        <v>606</v>
      </c>
      <c r="E117" s="256"/>
      <c r="F117" s="187" t="n">
        <f aca="false">F85</f>
        <v>954407.790882</v>
      </c>
    </row>
    <row r="118" s="165" customFormat="true" ht="13" hidden="false" customHeight="false" outlineLevel="0" collapsed="false">
      <c r="D118" s="240" t="s">
        <v>287</v>
      </c>
      <c r="E118" s="256"/>
      <c r="F118" s="187" t="n">
        <f aca="false">F89</f>
        <v>1391786.0689005</v>
      </c>
    </row>
    <row r="119" s="165" customFormat="true" ht="13" hidden="false" customHeight="false" outlineLevel="0" collapsed="false">
      <c r="D119" s="240" t="s">
        <v>600</v>
      </c>
      <c r="E119" s="256"/>
      <c r="F119" s="187" t="n">
        <f aca="false">F93</f>
        <v>1805849.61613875</v>
      </c>
    </row>
    <row r="120" s="165" customFormat="true" ht="13" hidden="false" customHeight="false" outlineLevel="0" collapsed="false">
      <c r="D120" s="240" t="s">
        <v>601</v>
      </c>
      <c r="E120" s="256"/>
      <c r="F120" s="187" t="n">
        <f aca="false">F97</f>
        <v>185214.41859375</v>
      </c>
    </row>
    <row r="121" s="165" customFormat="true" ht="24" hidden="false" customHeight="false" outlineLevel="0" collapsed="false">
      <c r="D121" s="240" t="s">
        <v>602</v>
      </c>
      <c r="E121" s="257"/>
      <c r="F121" s="215" t="n">
        <f aca="false">F104</f>
        <v>936299.542815</v>
      </c>
    </row>
    <row r="122" customFormat="false" ht="13" hidden="false" customHeight="false" outlineLevel="0" collapsed="false">
      <c r="C122" s="240"/>
      <c r="D122" s="218" t="s">
        <v>542</v>
      </c>
      <c r="E122" s="240"/>
      <c r="F122" s="187" t="n">
        <f aca="false">SUM(F107:F121)</f>
        <v>21100993.1273189</v>
      </c>
    </row>
    <row r="123" customFormat="false" ht="12.65" hidden="false" customHeight="false" outlineLevel="0" collapsed="false">
      <c r="C123" s="240"/>
      <c r="D123" s="218"/>
      <c r="E123" s="240"/>
      <c r="F123" s="187"/>
    </row>
    <row r="124" customFormat="false" ht="13" hidden="false" customHeight="false" outlineLevel="0" collapsed="false">
      <c r="C124" s="240"/>
      <c r="D124" s="218" t="s">
        <v>543</v>
      </c>
      <c r="E124" s="219" t="n">
        <v>0.3</v>
      </c>
      <c r="F124" s="187" t="n">
        <f aca="false">F122*E124</f>
        <v>6330297.93819568</v>
      </c>
    </row>
    <row r="125" customFormat="false" ht="13" hidden="false" customHeight="false" outlineLevel="0" collapsed="false">
      <c r="C125" s="240"/>
      <c r="D125" s="218" t="s">
        <v>544</v>
      </c>
      <c r="E125" s="219" t="n">
        <v>0.075</v>
      </c>
      <c r="F125" s="215" t="n">
        <f aca="false">SUM(F122:F124)*E125</f>
        <v>2057346.8299136</v>
      </c>
    </row>
    <row r="126" customFormat="false" ht="24" hidden="false" customHeight="false" outlineLevel="0" collapsed="false">
      <c r="C126" s="240"/>
      <c r="D126" s="218" t="s">
        <v>545</v>
      </c>
      <c r="E126" s="240"/>
      <c r="F126" s="187" t="n">
        <f aca="false">F124+F125</f>
        <v>8387644.76810928</v>
      </c>
    </row>
    <row r="127" customFormat="false" ht="12.65" hidden="false" customHeight="false" outlineLevel="0" collapsed="false">
      <c r="C127" s="240"/>
      <c r="D127" s="218"/>
      <c r="E127" s="240"/>
      <c r="F127" s="187"/>
    </row>
    <row r="128" customFormat="false" ht="13" hidden="false" customHeight="false" outlineLevel="0" collapsed="false">
      <c r="C128" s="240"/>
      <c r="D128" s="225" t="s">
        <v>546</v>
      </c>
      <c r="E128" s="258"/>
      <c r="F128" s="197" t="n">
        <f aca="false">F122+F126</f>
        <v>29488637.8954282</v>
      </c>
    </row>
    <row r="129" customFormat="false" ht="12.8" hidden="false" customHeight="false" outlineLevel="0" collapsed="false">
      <c r="F129" s="259" t="n">
        <f aca="false">F128/1000000</f>
        <v>29.4886378954282</v>
      </c>
    </row>
    <row r="130" customFormat="false" ht="12.8" hidden="false" customHeight="false" outlineLevel="0" collapsed="false">
      <c r="E130" s="132"/>
      <c r="F130" s="260"/>
    </row>
  </sheetData>
  <dataValidations count="2">
    <dataValidation allowBlank="true" errorStyle="stop" operator="equal" showDropDown="false" showErrorMessage="true" showInputMessage="true" sqref="F1 F8" type="list">
      <formula1>#REF!</formula1>
      <formula2>0</formula2>
    </dataValidation>
    <dataValidation allowBlank="true" errorStyle="stop" operator="equal" showDropDown="true" showErrorMessage="true" showInputMessage="true" sqref="F2:F5 F7" type="list">
      <formula1>#REF!</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E18"/>
    <pageSetUpPr fitToPage="false"/>
  </sheetPr>
  <dimension ref="A1:S13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91" activePane="bottomLeft" state="frozen"/>
      <selection pane="topLeft" activeCell="A1" activeCellId="0" sqref="A1"/>
      <selection pane="bottomLeft" activeCell="E113" activeCellId="0" sqref="E113"/>
    </sheetView>
  </sheetViews>
  <sheetFormatPr defaultColWidth="8.453125" defaultRowHeight="14.25" customHeight="true" zeroHeight="false" outlineLevelRow="0" outlineLevelCol="0"/>
  <cols>
    <col collapsed="false" customWidth="true" hidden="false" outlineLevel="0" max="1" min="1" style="0" width="36.54"/>
    <col collapsed="false" customWidth="true" hidden="false" outlineLevel="0" max="3" min="3" style="0" width="12.18"/>
    <col collapsed="false" customWidth="true" hidden="false" outlineLevel="0" max="4" min="4" style="0" width="36.54"/>
    <col collapsed="false" customWidth="true" hidden="false" outlineLevel="0" max="5" min="5" style="261" width="37.45"/>
    <col collapsed="false" customWidth="true" hidden="false" outlineLevel="0" max="6" min="6" style="261" width="5.54"/>
    <col collapsed="false" customWidth="true" hidden="false" outlineLevel="0" max="10" min="10" style="0" width="13.63"/>
  </cols>
  <sheetData>
    <row r="1" customFormat="false" ht="12.8" hidden="false" customHeight="false" outlineLevel="0" collapsed="false">
      <c r="A1" s="262" t="s">
        <v>14</v>
      </c>
      <c r="B1" s="262" t="s">
        <v>607</v>
      </c>
      <c r="C1" s="262" t="s">
        <v>608</v>
      </c>
      <c r="D1" s="262" t="s">
        <v>609</v>
      </c>
      <c r="E1" s="262" t="s">
        <v>610</v>
      </c>
      <c r="F1" s="262" t="s">
        <v>76</v>
      </c>
      <c r="G1" s="262" t="s">
        <v>37</v>
      </c>
      <c r="H1" s="262" t="s">
        <v>38</v>
      </c>
      <c r="I1" s="262" t="s">
        <v>39</v>
      </c>
      <c r="J1" s="262" t="s">
        <v>40</v>
      </c>
      <c r="K1" s="262" t="s">
        <v>41</v>
      </c>
      <c r="L1" s="262" t="s">
        <v>42</v>
      </c>
      <c r="M1" s="262" t="s">
        <v>43</v>
      </c>
      <c r="N1" s="262" t="s">
        <v>44</v>
      </c>
      <c r="O1" s="262" t="s">
        <v>62</v>
      </c>
      <c r="P1" s="262" t="s">
        <v>63</v>
      </c>
      <c r="Q1" s="262" t="s">
        <v>64</v>
      </c>
      <c r="R1" s="262" t="s">
        <v>65</v>
      </c>
      <c r="S1" s="262" t="s">
        <v>66</v>
      </c>
    </row>
    <row r="2" customFormat="false" ht="13.8" hidden="false" customHeight="false" outlineLevel="0" collapsed="false">
      <c r="A2" s="263" t="s">
        <v>20</v>
      </c>
      <c r="B2" s="0" t="s">
        <v>431</v>
      </c>
      <c r="C2" s="0" t="s">
        <v>433</v>
      </c>
      <c r="D2" s="0" t="s">
        <v>435</v>
      </c>
      <c r="E2" s="261" t="s">
        <v>611</v>
      </c>
      <c r="G2" s="264" t="n">
        <v>1.81922859703353</v>
      </c>
      <c r="H2" s="264" t="n">
        <v>2.02156669221316</v>
      </c>
      <c r="I2" s="264" t="n">
        <v>2.11477802509566</v>
      </c>
      <c r="J2" s="264" t="n">
        <v>2.15583456742161</v>
      </c>
      <c r="K2" s="264" t="n">
        <v>2.29921531273651</v>
      </c>
      <c r="L2" s="264" t="n">
        <v>3.6677243868119</v>
      </c>
      <c r="M2" s="264" t="n">
        <v>4.64938958858386</v>
      </c>
      <c r="N2" s="264" t="n">
        <v>5.87968896318446</v>
      </c>
    </row>
    <row r="3" customFormat="false" ht="13.8" hidden="false" customHeight="false" outlineLevel="0" collapsed="false">
      <c r="A3" s="210" t="s">
        <v>21</v>
      </c>
      <c r="B3" s="0" t="s">
        <v>431</v>
      </c>
      <c r="C3" s="0" t="s">
        <v>433</v>
      </c>
      <c r="D3" s="0" t="s">
        <v>435</v>
      </c>
      <c r="E3" s="261" t="s">
        <v>612</v>
      </c>
      <c r="G3" s="264" t="n">
        <v>1.83626284363952</v>
      </c>
      <c r="H3" s="264" t="n">
        <v>2.0407302196449</v>
      </c>
      <c r="I3" s="264" t="n">
        <v>2.13500619294027</v>
      </c>
      <c r="J3" s="264" t="n">
        <v>2.1771273756791</v>
      </c>
      <c r="K3" s="264" t="n">
        <v>2.32583132305837</v>
      </c>
      <c r="L3" s="264" t="n">
        <v>3.7049868012625</v>
      </c>
      <c r="M3" s="264" t="n">
        <v>4.69197520509883</v>
      </c>
      <c r="N3" s="264" t="n">
        <v>5.92759778176381</v>
      </c>
    </row>
    <row r="4" customFormat="false" ht="13.8" hidden="false" customHeight="false" outlineLevel="0" collapsed="false">
      <c r="A4" s="210" t="s">
        <v>22</v>
      </c>
      <c r="B4" s="0" t="s">
        <v>431</v>
      </c>
      <c r="C4" s="0" t="s">
        <v>433</v>
      </c>
      <c r="D4" s="0" t="s">
        <v>435</v>
      </c>
      <c r="E4" s="261" t="s">
        <v>613</v>
      </c>
      <c r="G4" s="264" t="n">
        <v>1.76140371864951</v>
      </c>
      <c r="H4" s="264" t="n">
        <v>1.95651370403113</v>
      </c>
      <c r="I4" s="264" t="n">
        <v>2.04611098201463</v>
      </c>
      <c r="J4" s="264" t="n">
        <v>2.08355346944158</v>
      </c>
      <c r="K4" s="264" t="n">
        <v>2.20886394026147</v>
      </c>
      <c r="L4" s="264" t="n">
        <v>3.54123246534684</v>
      </c>
      <c r="M4" s="264" t="n">
        <v>4.50482739262379</v>
      </c>
      <c r="N4" s="264" t="n">
        <v>5.71705649272939</v>
      </c>
    </row>
    <row r="5" customFormat="false" ht="13.8" hidden="false" customHeight="false" outlineLevel="0" collapsed="false">
      <c r="A5" s="210" t="s">
        <v>23</v>
      </c>
      <c r="B5" s="0" t="s">
        <v>431</v>
      </c>
      <c r="C5" s="0" t="s">
        <v>433</v>
      </c>
      <c r="D5" s="0" t="s">
        <v>435</v>
      </c>
      <c r="E5" s="261" t="s">
        <v>614</v>
      </c>
      <c r="G5" s="264" t="n">
        <v>1.81242387224951</v>
      </c>
      <c r="H5" s="264" t="n">
        <v>2.01391137683113</v>
      </c>
      <c r="I5" s="264" t="n">
        <v>2.10669741441463</v>
      </c>
      <c r="J5" s="264" t="n">
        <v>2.14732866144158</v>
      </c>
      <c r="K5" s="264" t="n">
        <v>2.28858293026147</v>
      </c>
      <c r="L5" s="264" t="n">
        <v>3.65283905134684</v>
      </c>
      <c r="M5" s="264" t="n">
        <v>4.63237777662379</v>
      </c>
      <c r="N5" s="264" t="n">
        <v>5.86055067472939</v>
      </c>
    </row>
    <row r="6" customFormat="false" ht="13.8" hidden="false" customHeight="false" outlineLevel="0" collapsed="false">
      <c r="A6" s="210" t="s">
        <v>24</v>
      </c>
      <c r="B6" s="0" t="s">
        <v>431</v>
      </c>
      <c r="C6" s="0" t="s">
        <v>433</v>
      </c>
      <c r="D6" s="0" t="s">
        <v>435</v>
      </c>
      <c r="E6" s="261" t="s">
        <v>615</v>
      </c>
      <c r="G6" s="264" t="n">
        <v>1.90162728473284</v>
      </c>
      <c r="H6" s="264" t="n">
        <v>2.11426521587488</v>
      </c>
      <c r="I6" s="264" t="n">
        <v>2.21262646673859</v>
      </c>
      <c r="J6" s="264" t="n">
        <v>2.25883292704575</v>
      </c>
      <c r="K6" s="264" t="n">
        <v>2.42796326226668</v>
      </c>
      <c r="L6" s="264" t="n">
        <v>3.84797151615414</v>
      </c>
      <c r="M6" s="264" t="n">
        <v>4.85538630783213</v>
      </c>
      <c r="N6" s="264" t="n">
        <v>6.11143527233877</v>
      </c>
    </row>
    <row r="7" customFormat="false" ht="13.8" hidden="false" customHeight="false" outlineLevel="0" collapsed="false">
      <c r="A7" s="210" t="s">
        <v>25</v>
      </c>
      <c r="B7" s="0" t="s">
        <v>431</v>
      </c>
      <c r="C7" s="0" t="s">
        <v>433</v>
      </c>
      <c r="D7" s="0" t="s">
        <v>435</v>
      </c>
      <c r="E7" s="261" t="s">
        <v>616</v>
      </c>
      <c r="G7" s="264" t="n">
        <v>2.0564701825075</v>
      </c>
      <c r="H7" s="264" t="n">
        <v>2.28846347587137</v>
      </c>
      <c r="I7" s="264" t="n">
        <v>2.39650240784599</v>
      </c>
      <c r="J7" s="264" t="n">
        <v>2.45238654926407</v>
      </c>
      <c r="K7" s="264" t="n">
        <v>2.66990529003958</v>
      </c>
      <c r="L7" s="264" t="n">
        <v>4.1866903550362</v>
      </c>
      <c r="M7" s="264" t="n">
        <v>5.24249355226877</v>
      </c>
      <c r="N7" s="264" t="n">
        <v>6.54693092232999</v>
      </c>
    </row>
    <row r="8" customFormat="false" ht="13.8" hidden="false" customHeight="false" outlineLevel="0" collapsed="false">
      <c r="A8" s="210" t="s">
        <v>26</v>
      </c>
      <c r="B8" s="0" t="s">
        <v>431</v>
      </c>
      <c r="C8" s="0" t="s">
        <v>433</v>
      </c>
      <c r="D8" s="0" t="s">
        <v>435</v>
      </c>
      <c r="E8" s="261" t="s">
        <v>617</v>
      </c>
      <c r="G8" s="264" t="n">
        <v>1.88040724612685</v>
      </c>
      <c r="H8" s="264" t="n">
        <v>2.09039267244314</v>
      </c>
      <c r="I8" s="264" t="n">
        <v>2.18742767089398</v>
      </c>
      <c r="J8" s="264" t="n">
        <v>2.23230787878826</v>
      </c>
      <c r="K8" s="264" t="n">
        <v>2.39480695194482</v>
      </c>
      <c r="L8" s="264" t="n">
        <v>3.80155268170353</v>
      </c>
      <c r="M8" s="264" t="n">
        <v>4.80233621131716</v>
      </c>
      <c r="N8" s="264" t="n">
        <v>6.05175391375942</v>
      </c>
    </row>
    <row r="9" customFormat="false" ht="13.8" hidden="false" customHeight="false" outlineLevel="0" collapsed="false">
      <c r="A9" s="210" t="s">
        <v>27</v>
      </c>
      <c r="B9" s="0" t="s">
        <v>431</v>
      </c>
      <c r="C9" s="0" t="s">
        <v>433</v>
      </c>
      <c r="D9" s="0" t="s">
        <v>435</v>
      </c>
      <c r="E9" s="261" t="s">
        <v>618</v>
      </c>
      <c r="G9" s="264" t="n">
        <v>1.86828130623918</v>
      </c>
      <c r="H9" s="264" t="n">
        <v>2.0767509900695</v>
      </c>
      <c r="I9" s="264" t="n">
        <v>2.17302811727736</v>
      </c>
      <c r="J9" s="264" t="n">
        <v>2.21715045392866</v>
      </c>
      <c r="K9" s="264" t="n">
        <v>2.37586017087033</v>
      </c>
      <c r="L9" s="264" t="n">
        <v>3.77502718819924</v>
      </c>
      <c r="M9" s="264" t="n">
        <v>4.77202136159797</v>
      </c>
      <c r="N9" s="264" t="n">
        <v>6.01764970782534</v>
      </c>
    </row>
    <row r="10" customFormat="false" ht="13.8" hidden="false" customHeight="false" outlineLevel="0" collapsed="false">
      <c r="A10" s="210" t="s">
        <v>28</v>
      </c>
      <c r="B10" s="0" t="s">
        <v>431</v>
      </c>
      <c r="C10" s="0" t="s">
        <v>433</v>
      </c>
      <c r="D10" s="0" t="s">
        <v>435</v>
      </c>
      <c r="E10" s="261" t="s">
        <v>619</v>
      </c>
      <c r="G10" s="264" t="n">
        <v>2.0464242817075</v>
      </c>
      <c r="H10" s="264" t="n">
        <v>2.27716183747137</v>
      </c>
      <c r="I10" s="264" t="n">
        <v>2.38457290064599</v>
      </c>
      <c r="J10" s="264" t="n">
        <v>2.43982917326407</v>
      </c>
      <c r="K10" s="264" t="n">
        <v>2.65420857003958</v>
      </c>
      <c r="L10" s="264" t="n">
        <v>4.1647149470362</v>
      </c>
      <c r="M10" s="264" t="n">
        <v>5.21737880026877</v>
      </c>
      <c r="N10" s="264" t="n">
        <v>6.51867682632999</v>
      </c>
    </row>
    <row r="11" customFormat="false" ht="13.8" hidden="false" customHeight="false" outlineLevel="0" collapsed="false">
      <c r="A11" s="210" t="s">
        <v>29</v>
      </c>
      <c r="B11" s="0" t="s">
        <v>431</v>
      </c>
      <c r="C11" s="0" t="s">
        <v>433</v>
      </c>
      <c r="D11" s="0" t="s">
        <v>435</v>
      </c>
      <c r="E11" s="261" t="s">
        <v>620</v>
      </c>
      <c r="G11" s="264" t="n">
        <v>1.79327668663353</v>
      </c>
      <c r="H11" s="264" t="n">
        <v>1.99237079301316</v>
      </c>
      <c r="I11" s="264" t="n">
        <v>2.08396013149566</v>
      </c>
      <c r="J11" s="264" t="n">
        <v>2.12339467942161</v>
      </c>
      <c r="K11" s="264" t="n">
        <v>2.25866545273651</v>
      </c>
      <c r="L11" s="264" t="n">
        <v>3.6109545828119</v>
      </c>
      <c r="M11" s="264" t="n">
        <v>4.58450981258386</v>
      </c>
      <c r="N11" s="264" t="n">
        <v>5.80669921518447</v>
      </c>
    </row>
    <row r="12" customFormat="false" ht="13.8" hidden="false" customHeight="false" outlineLevel="0" collapsed="false">
      <c r="A12" s="210" t="s">
        <v>30</v>
      </c>
      <c r="B12" s="0" t="s">
        <v>431</v>
      </c>
      <c r="C12" s="0" t="s">
        <v>433</v>
      </c>
      <c r="D12" s="0" t="s">
        <v>435</v>
      </c>
      <c r="E12" s="261" t="s">
        <v>621</v>
      </c>
      <c r="G12" s="264" t="n">
        <v>1.6703900056515</v>
      </c>
      <c r="H12" s="264" t="n">
        <v>1.85412327690837</v>
      </c>
      <c r="I12" s="264" t="n">
        <v>1.9380321978295</v>
      </c>
      <c r="J12" s="264" t="n">
        <v>1.96978632819407</v>
      </c>
      <c r="K12" s="264" t="n">
        <v>2.06665501370209</v>
      </c>
      <c r="L12" s="264" t="n">
        <v>3.34213996816371</v>
      </c>
      <c r="M12" s="264" t="n">
        <v>4.27729311012878</v>
      </c>
      <c r="N12" s="264" t="n">
        <v>5.46108042492251</v>
      </c>
    </row>
    <row r="13" customFormat="false" ht="13.8" hidden="false" customHeight="false" outlineLevel="0" collapsed="false">
      <c r="A13" s="210" t="s">
        <v>31</v>
      </c>
      <c r="B13" s="0" t="s">
        <v>431</v>
      </c>
      <c r="C13" s="0" t="s">
        <v>433</v>
      </c>
      <c r="D13" s="0" t="s">
        <v>435</v>
      </c>
      <c r="E13" s="261" t="s">
        <v>622</v>
      </c>
      <c r="G13" s="264" t="n">
        <v>1.70159646518502</v>
      </c>
      <c r="H13" s="264" t="n">
        <v>1.88923054388358</v>
      </c>
      <c r="I13" s="264" t="n">
        <v>1.97508986852555</v>
      </c>
      <c r="J13" s="264" t="n">
        <v>2.00879440261097</v>
      </c>
      <c r="K13" s="264" t="n">
        <v>2.11541510672321</v>
      </c>
      <c r="L13" s="264" t="n">
        <v>3.41040409839328</v>
      </c>
      <c r="M13" s="264" t="n">
        <v>4.35530925896257</v>
      </c>
      <c r="N13" s="264" t="n">
        <v>5.54884859236052</v>
      </c>
    </row>
    <row r="14" customFormat="false" ht="13.8" hidden="false" customHeight="false" outlineLevel="0" collapsed="false">
      <c r="A14" s="210" t="s">
        <v>32</v>
      </c>
      <c r="B14" s="0" t="s">
        <v>431</v>
      </c>
      <c r="C14" s="0" t="s">
        <v>433</v>
      </c>
      <c r="D14" s="0" t="s">
        <v>435</v>
      </c>
      <c r="E14" s="261" t="s">
        <v>623</v>
      </c>
      <c r="G14" s="264" t="n">
        <v>1.70042600411925</v>
      </c>
      <c r="H14" s="264" t="n">
        <v>1.88791377518458</v>
      </c>
      <c r="I14" s="264" t="n">
        <v>1.97369994600994</v>
      </c>
      <c r="J14" s="264" t="n">
        <v>2.00733132627875</v>
      </c>
      <c r="K14" s="264" t="n">
        <v>2.11358626130794</v>
      </c>
      <c r="L14" s="264" t="n">
        <v>3.4078437148119</v>
      </c>
      <c r="M14" s="264" t="n">
        <v>4.35238310629814</v>
      </c>
      <c r="N14" s="264" t="n">
        <v>5.54555667061303</v>
      </c>
    </row>
    <row r="15" customFormat="false" ht="13.8" hidden="false" customHeight="false" outlineLevel="0" collapsed="false">
      <c r="A15" s="210" t="s">
        <v>33</v>
      </c>
      <c r="B15" s="0" t="s">
        <v>431</v>
      </c>
      <c r="C15" s="0" t="s">
        <v>433</v>
      </c>
      <c r="D15" s="0" t="s">
        <v>435</v>
      </c>
      <c r="E15" s="261" t="s">
        <v>624</v>
      </c>
      <c r="G15" s="264" t="n">
        <v>1.98471859843883</v>
      </c>
      <c r="H15" s="264" t="n">
        <v>2.20774294379412</v>
      </c>
      <c r="I15" s="264" t="n">
        <v>2.31129740176446</v>
      </c>
      <c r="J15" s="264" t="n">
        <v>2.36269706917824</v>
      </c>
      <c r="K15" s="264" t="n">
        <v>2.55779343993229</v>
      </c>
      <c r="L15" s="264" t="n">
        <v>4.029733764886</v>
      </c>
      <c r="M15" s="264" t="n">
        <v>5.06311459209712</v>
      </c>
      <c r="N15" s="264" t="n">
        <v>6.34512959213688</v>
      </c>
    </row>
    <row r="16" customFormat="false" ht="13.8" hidden="false" customHeight="false" outlineLevel="0" collapsed="false">
      <c r="A16" s="210" t="s">
        <v>34</v>
      </c>
      <c r="B16" s="0" t="s">
        <v>431</v>
      </c>
      <c r="C16" s="0" t="s">
        <v>433</v>
      </c>
      <c r="D16" s="0" t="s">
        <v>435</v>
      </c>
      <c r="E16" s="261" t="s">
        <v>625</v>
      </c>
      <c r="G16" s="264" t="n">
        <v>1.98778835118053</v>
      </c>
      <c r="H16" s="264" t="n">
        <v>2.21003057937506</v>
      </c>
      <c r="I16" s="264" t="n">
        <v>2.31282385249956</v>
      </c>
      <c r="J16" s="264" t="n">
        <v>2.36103653085558</v>
      </c>
      <c r="K16" s="264" t="n">
        <v>2.53731879509685</v>
      </c>
      <c r="L16" s="264" t="n">
        <v>4.02194474811549</v>
      </c>
      <c r="M16" s="264" t="n">
        <v>5.07550144353276</v>
      </c>
      <c r="N16" s="264" t="n">
        <v>6.38925669191023</v>
      </c>
    </row>
    <row r="17" customFormat="false" ht="13.8" hidden="false" customHeight="false" outlineLevel="0" collapsed="false">
      <c r="A17" s="210" t="s">
        <v>20</v>
      </c>
      <c r="B17" s="0" t="s">
        <v>431</v>
      </c>
      <c r="C17" s="0" t="s">
        <v>433</v>
      </c>
      <c r="D17" s="0" t="s">
        <v>626</v>
      </c>
      <c r="E17" s="261" t="s">
        <v>627</v>
      </c>
      <c r="G17" s="264" t="n">
        <v>2.59155857110341</v>
      </c>
      <c r="H17" s="264" t="n">
        <v>2.92599362876523</v>
      </c>
      <c r="I17" s="264" t="n">
        <v>3.09292900479868</v>
      </c>
      <c r="J17" s="264" t="n">
        <v>3.16827906242543</v>
      </c>
      <c r="K17" s="264" t="n">
        <v>3.72025693406833</v>
      </c>
      <c r="L17" s="264" t="n">
        <v>6.09917137469125</v>
      </c>
      <c r="M17" s="265" t="s">
        <v>76</v>
      </c>
      <c r="N17" s="265" t="s">
        <v>76</v>
      </c>
    </row>
    <row r="18" customFormat="false" ht="13.8" hidden="false" customHeight="false" outlineLevel="0" collapsed="false">
      <c r="A18" s="210" t="s">
        <v>21</v>
      </c>
      <c r="B18" s="0" t="s">
        <v>431</v>
      </c>
      <c r="C18" s="0" t="s">
        <v>433</v>
      </c>
      <c r="D18" s="0" t="s">
        <v>626</v>
      </c>
      <c r="E18" s="261" t="s">
        <v>628</v>
      </c>
      <c r="G18" s="264" t="n">
        <v>2.6085928177094</v>
      </c>
      <c r="H18" s="264" t="n">
        <v>2.94515715619696</v>
      </c>
      <c r="I18" s="264" t="n">
        <v>3.1131571726433</v>
      </c>
      <c r="J18" s="264" t="n">
        <v>3.18957187068292</v>
      </c>
      <c r="K18" s="264" t="n">
        <v>3.74687294439019</v>
      </c>
      <c r="L18" s="264" t="n">
        <v>6.13643378914185</v>
      </c>
      <c r="M18" s="265" t="s">
        <v>76</v>
      </c>
      <c r="N18" s="265" t="s">
        <v>76</v>
      </c>
    </row>
    <row r="19" customFormat="false" ht="13.8" hidden="false" customHeight="false" outlineLevel="0" collapsed="false">
      <c r="A19" s="210" t="s">
        <v>22</v>
      </c>
      <c r="B19" s="0" t="s">
        <v>431</v>
      </c>
      <c r="C19" s="0" t="s">
        <v>433</v>
      </c>
      <c r="D19" s="0" t="s">
        <v>626</v>
      </c>
      <c r="E19" s="261" t="s">
        <v>629</v>
      </c>
      <c r="G19" s="264" t="n">
        <v>2.53373369271938</v>
      </c>
      <c r="H19" s="264" t="n">
        <v>2.8609406405832</v>
      </c>
      <c r="I19" s="264" t="n">
        <v>3.02426196171765</v>
      </c>
      <c r="J19" s="264" t="n">
        <v>3.0959979644454</v>
      </c>
      <c r="K19" s="264" t="n">
        <v>3.62990556159329</v>
      </c>
      <c r="L19" s="264" t="n">
        <v>5.97267945322619</v>
      </c>
      <c r="M19" s="265" t="s">
        <v>76</v>
      </c>
      <c r="N19" s="265" t="s">
        <v>76</v>
      </c>
    </row>
    <row r="20" customFormat="false" ht="13.8" hidden="false" customHeight="false" outlineLevel="0" collapsed="false">
      <c r="A20" s="210" t="s">
        <v>23</v>
      </c>
      <c r="B20" s="0" t="s">
        <v>431</v>
      </c>
      <c r="C20" s="0" t="s">
        <v>433</v>
      </c>
      <c r="D20" s="0" t="s">
        <v>626</v>
      </c>
      <c r="E20" s="261" t="s">
        <v>630</v>
      </c>
      <c r="G20" s="264" t="n">
        <v>2.58475384631938</v>
      </c>
      <c r="H20" s="264" t="n">
        <v>2.9183383133832</v>
      </c>
      <c r="I20" s="264" t="n">
        <v>3.08484839411765</v>
      </c>
      <c r="J20" s="264" t="n">
        <v>3.1597731564454</v>
      </c>
      <c r="K20" s="264" t="n">
        <v>3.70962455159329</v>
      </c>
      <c r="L20" s="264" t="n">
        <v>6.08428603922619</v>
      </c>
      <c r="M20" s="265" t="s">
        <v>76</v>
      </c>
      <c r="N20" s="265" t="s">
        <v>76</v>
      </c>
    </row>
    <row r="21" customFormat="false" ht="13.8" hidden="false" customHeight="false" outlineLevel="0" collapsed="false">
      <c r="A21" s="210" t="s">
        <v>24</v>
      </c>
      <c r="B21" s="0" t="s">
        <v>431</v>
      </c>
      <c r="C21" s="0" t="s">
        <v>433</v>
      </c>
      <c r="D21" s="0" t="s">
        <v>626</v>
      </c>
      <c r="E21" s="261" t="s">
        <v>631</v>
      </c>
      <c r="G21" s="264" t="n">
        <v>2.67395725880272</v>
      </c>
      <c r="H21" s="264" t="n">
        <v>3.01869215242695</v>
      </c>
      <c r="I21" s="264" t="n">
        <v>3.19077744644161</v>
      </c>
      <c r="J21" s="264" t="n">
        <v>3.27127742204957</v>
      </c>
      <c r="K21" s="264" t="n">
        <v>3.8490048835985</v>
      </c>
      <c r="L21" s="264" t="n">
        <v>6.27941850403348</v>
      </c>
      <c r="M21" s="265" t="s">
        <v>76</v>
      </c>
      <c r="N21" s="265" t="s">
        <v>76</v>
      </c>
    </row>
    <row r="22" customFormat="false" ht="13.8" hidden="false" customHeight="false" outlineLevel="0" collapsed="false">
      <c r="A22" s="210" t="s">
        <v>25</v>
      </c>
      <c r="B22" s="0" t="s">
        <v>431</v>
      </c>
      <c r="C22" s="0" t="s">
        <v>433</v>
      </c>
      <c r="D22" s="0" t="s">
        <v>626</v>
      </c>
      <c r="E22" s="261" t="s">
        <v>632</v>
      </c>
      <c r="G22" s="264" t="n">
        <v>2.82880015657737</v>
      </c>
      <c r="H22" s="264" t="n">
        <v>3.19289041242344</v>
      </c>
      <c r="I22" s="264" t="n">
        <v>3.37465338754902</v>
      </c>
      <c r="J22" s="264" t="n">
        <v>3.46483104426789</v>
      </c>
      <c r="K22" s="264" t="n">
        <v>4.0909469113714</v>
      </c>
      <c r="L22" s="264" t="n">
        <v>6.61813734291554</v>
      </c>
      <c r="M22" s="265" t="s">
        <v>76</v>
      </c>
      <c r="N22" s="265" t="s">
        <v>76</v>
      </c>
    </row>
    <row r="23" customFormat="false" ht="13.8" hidden="false" customHeight="false" outlineLevel="0" collapsed="false">
      <c r="A23" s="210" t="s">
        <v>26</v>
      </c>
      <c r="B23" s="0" t="s">
        <v>431</v>
      </c>
      <c r="C23" s="0" t="s">
        <v>433</v>
      </c>
      <c r="D23" s="0" t="s">
        <v>626</v>
      </c>
      <c r="E23" s="261" t="s">
        <v>633</v>
      </c>
      <c r="G23" s="264" t="n">
        <v>2.65273722019672</v>
      </c>
      <c r="H23" s="264" t="n">
        <v>2.99481960899521</v>
      </c>
      <c r="I23" s="264" t="n">
        <v>3.165578650597</v>
      </c>
      <c r="J23" s="264" t="n">
        <v>3.24475237379208</v>
      </c>
      <c r="K23" s="264" t="n">
        <v>3.81584857327664</v>
      </c>
      <c r="L23" s="264" t="n">
        <v>6.23299966958288</v>
      </c>
      <c r="M23" s="265" t="s">
        <v>76</v>
      </c>
      <c r="N23" s="265" t="s">
        <v>76</v>
      </c>
    </row>
    <row r="24" customFormat="false" ht="13.8" hidden="false" customHeight="false" outlineLevel="0" collapsed="false">
      <c r="A24" s="210" t="s">
        <v>27</v>
      </c>
      <c r="B24" s="0" t="s">
        <v>431</v>
      </c>
      <c r="C24" s="0" t="s">
        <v>433</v>
      </c>
      <c r="D24" s="0" t="s">
        <v>626</v>
      </c>
      <c r="E24" s="261" t="s">
        <v>634</v>
      </c>
      <c r="G24" s="264" t="n">
        <v>2.64061128030905</v>
      </c>
      <c r="H24" s="264" t="n">
        <v>2.98117792662157</v>
      </c>
      <c r="I24" s="264" t="n">
        <v>3.15117909698038</v>
      </c>
      <c r="J24" s="264" t="n">
        <v>3.22959494893249</v>
      </c>
      <c r="K24" s="264" t="n">
        <v>3.79690179220215</v>
      </c>
      <c r="L24" s="264" t="n">
        <v>6.20647417607859</v>
      </c>
      <c r="M24" s="265" t="s">
        <v>76</v>
      </c>
      <c r="N24" s="265" t="s">
        <v>76</v>
      </c>
    </row>
    <row r="25" customFormat="false" ht="13.8" hidden="false" customHeight="false" outlineLevel="0" collapsed="false">
      <c r="A25" s="210" t="s">
        <v>28</v>
      </c>
      <c r="B25" s="0" t="s">
        <v>431</v>
      </c>
      <c r="C25" s="0" t="s">
        <v>433</v>
      </c>
      <c r="D25" s="0" t="s">
        <v>626</v>
      </c>
      <c r="E25" s="261" t="s">
        <v>635</v>
      </c>
      <c r="G25" s="264" t="n">
        <v>2.81875425577737</v>
      </c>
      <c r="H25" s="264" t="n">
        <v>3.18158877402344</v>
      </c>
      <c r="I25" s="264" t="n">
        <v>3.36272388034902</v>
      </c>
      <c r="J25" s="264" t="n">
        <v>3.45227366826789</v>
      </c>
      <c r="K25" s="264" t="n">
        <v>4.0752501913714</v>
      </c>
      <c r="L25" s="264" t="n">
        <v>6.59616193491554</v>
      </c>
      <c r="M25" s="265" t="s">
        <v>76</v>
      </c>
      <c r="N25" s="265" t="s">
        <v>76</v>
      </c>
    </row>
    <row r="26" customFormat="false" ht="13.8" hidden="false" customHeight="false" outlineLevel="0" collapsed="false">
      <c r="A26" s="210" t="s">
        <v>29</v>
      </c>
      <c r="B26" s="0" t="s">
        <v>431</v>
      </c>
      <c r="C26" s="0" t="s">
        <v>433</v>
      </c>
      <c r="D26" s="0" t="s">
        <v>626</v>
      </c>
      <c r="E26" s="261" t="s">
        <v>636</v>
      </c>
      <c r="G26" s="264" t="n">
        <v>2.56560666070341</v>
      </c>
      <c r="H26" s="264" t="n">
        <v>2.89679772956523</v>
      </c>
      <c r="I26" s="264" t="n">
        <v>3.06211111119868</v>
      </c>
      <c r="J26" s="264" t="n">
        <v>3.13583917442543</v>
      </c>
      <c r="K26" s="264" t="n">
        <v>3.67970707406833</v>
      </c>
      <c r="L26" s="264" t="n">
        <v>6.04240157069124</v>
      </c>
      <c r="M26" s="265" t="s">
        <v>76</v>
      </c>
      <c r="N26" s="265" t="s">
        <v>76</v>
      </c>
    </row>
    <row r="27" customFormat="false" ht="13.8" hidden="false" customHeight="false" outlineLevel="0" collapsed="false">
      <c r="A27" s="210" t="s">
        <v>30</v>
      </c>
      <c r="B27" s="0" t="s">
        <v>431</v>
      </c>
      <c r="C27" s="0" t="s">
        <v>433</v>
      </c>
      <c r="D27" s="0" t="s">
        <v>626</v>
      </c>
      <c r="E27" s="261" t="s">
        <v>637</v>
      </c>
      <c r="G27" s="264" t="n">
        <v>2.44271997972138</v>
      </c>
      <c r="H27" s="264" t="n">
        <v>2.75855021346044</v>
      </c>
      <c r="I27" s="264" t="n">
        <v>2.91618317753252</v>
      </c>
      <c r="J27" s="264" t="n">
        <v>2.98223082319789</v>
      </c>
      <c r="K27" s="264" t="n">
        <v>3.48769663503391</v>
      </c>
      <c r="L27" s="264" t="n">
        <v>5.77358695604306</v>
      </c>
      <c r="M27" s="265" t="s">
        <v>76</v>
      </c>
      <c r="N27" s="265" t="s">
        <v>76</v>
      </c>
    </row>
    <row r="28" customFormat="false" ht="13.8" hidden="false" customHeight="false" outlineLevel="0" collapsed="false">
      <c r="A28" s="210" t="s">
        <v>31</v>
      </c>
      <c r="B28" s="0" t="s">
        <v>431</v>
      </c>
      <c r="C28" s="0" t="s">
        <v>433</v>
      </c>
      <c r="D28" s="0" t="s">
        <v>626</v>
      </c>
      <c r="E28" s="261" t="s">
        <v>638</v>
      </c>
      <c r="G28" s="264" t="n">
        <v>2.47392643925489</v>
      </c>
      <c r="H28" s="264" t="n">
        <v>2.79365748043565</v>
      </c>
      <c r="I28" s="264" t="n">
        <v>2.95324084822857</v>
      </c>
      <c r="J28" s="264" t="n">
        <v>3.02123889761479</v>
      </c>
      <c r="K28" s="264" t="n">
        <v>3.53645672805503</v>
      </c>
      <c r="L28" s="264" t="n">
        <v>5.84185108627262</v>
      </c>
      <c r="M28" s="265" t="s">
        <v>76</v>
      </c>
      <c r="N28" s="265" t="s">
        <v>76</v>
      </c>
    </row>
    <row r="29" customFormat="false" ht="13.8" hidden="false" customHeight="false" outlineLevel="0" collapsed="false">
      <c r="A29" s="210" t="s">
        <v>32</v>
      </c>
      <c r="B29" s="0" t="s">
        <v>431</v>
      </c>
      <c r="C29" s="0" t="s">
        <v>433</v>
      </c>
      <c r="D29" s="0" t="s">
        <v>626</v>
      </c>
      <c r="E29" s="261" t="s">
        <v>639</v>
      </c>
      <c r="G29" s="264" t="n">
        <v>2.47275597818912</v>
      </c>
      <c r="H29" s="264" t="n">
        <v>2.79234071173665</v>
      </c>
      <c r="I29" s="264" t="n">
        <v>2.95185092571297</v>
      </c>
      <c r="J29" s="264" t="n">
        <v>3.01977582128257</v>
      </c>
      <c r="K29" s="264" t="n">
        <v>3.53462788263976</v>
      </c>
      <c r="L29" s="264" t="n">
        <v>5.83929070269125</v>
      </c>
      <c r="M29" s="265" t="s">
        <v>76</v>
      </c>
      <c r="N29" s="265" t="s">
        <v>76</v>
      </c>
    </row>
    <row r="30" customFormat="false" ht="13.8" hidden="false" customHeight="false" outlineLevel="0" collapsed="false">
      <c r="A30" s="210" t="s">
        <v>33</v>
      </c>
      <c r="B30" s="0" t="s">
        <v>431</v>
      </c>
      <c r="C30" s="0" t="s">
        <v>433</v>
      </c>
      <c r="D30" s="0" t="s">
        <v>626</v>
      </c>
      <c r="E30" s="261" t="s">
        <v>640</v>
      </c>
      <c r="G30" s="264" t="n">
        <v>2.75704857250871</v>
      </c>
      <c r="H30" s="264" t="n">
        <v>3.11216988034619</v>
      </c>
      <c r="I30" s="264" t="n">
        <v>3.28944838146748</v>
      </c>
      <c r="J30" s="264" t="n">
        <v>3.37514156418206</v>
      </c>
      <c r="K30" s="264" t="n">
        <v>3.97883506126411</v>
      </c>
      <c r="L30" s="264" t="n">
        <v>6.46118075276534</v>
      </c>
      <c r="M30" s="265" t="s">
        <v>76</v>
      </c>
      <c r="N30" s="265" t="s">
        <v>76</v>
      </c>
    </row>
    <row r="31" customFormat="false" ht="13.8" hidden="false" customHeight="false" outlineLevel="0" collapsed="false">
      <c r="A31" s="210" t="s">
        <v>34</v>
      </c>
      <c r="B31" s="0" t="s">
        <v>431</v>
      </c>
      <c r="C31" s="0" t="s">
        <v>433</v>
      </c>
      <c r="D31" s="0" t="s">
        <v>626</v>
      </c>
      <c r="E31" s="261" t="s">
        <v>641</v>
      </c>
      <c r="G31" s="264" t="n">
        <v>2.67177217630905</v>
      </c>
      <c r="H31" s="264" t="n">
        <v>3.01623393462157</v>
      </c>
      <c r="I31" s="264" t="n">
        <v>3.18818266098038</v>
      </c>
      <c r="J31" s="264" t="n">
        <v>3.26854606893249</v>
      </c>
      <c r="K31" s="264" t="n">
        <v>3.84559069220215</v>
      </c>
      <c r="L31" s="264" t="n">
        <v>6.27463863607859</v>
      </c>
      <c r="M31" s="265" t="s">
        <v>76</v>
      </c>
      <c r="N31" s="265" t="s">
        <v>76</v>
      </c>
    </row>
    <row r="32" customFormat="false" ht="13.8" hidden="false" customHeight="false" outlineLevel="0" collapsed="false">
      <c r="A32" s="210" t="s">
        <v>20</v>
      </c>
      <c r="B32" s="0" t="s">
        <v>431</v>
      </c>
      <c r="C32" s="266" t="s">
        <v>642</v>
      </c>
      <c r="D32" s="0" t="s">
        <v>435</v>
      </c>
      <c r="E32" s="261" t="s">
        <v>643</v>
      </c>
      <c r="G32" s="267" t="n">
        <v>1.59788409129045</v>
      </c>
      <c r="H32" s="267" t="n">
        <v>1.77247640083529</v>
      </c>
      <c r="I32" s="267" t="n">
        <v>1.85179016581604</v>
      </c>
      <c r="J32" s="267" t="n">
        <v>1.87878741995944</v>
      </c>
      <c r="K32" s="267" t="n">
        <v>1.95167978027999</v>
      </c>
      <c r="L32" s="265" t="s">
        <v>76</v>
      </c>
      <c r="M32" s="265" t="s">
        <v>76</v>
      </c>
      <c r="N32" s="265" t="s">
        <v>76</v>
      </c>
    </row>
    <row r="33" customFormat="false" ht="13.8" hidden="false" customHeight="false" outlineLevel="0" collapsed="false">
      <c r="A33" s="210" t="s">
        <v>21</v>
      </c>
      <c r="B33" s="0" t="s">
        <v>431</v>
      </c>
      <c r="C33" s="266" t="s">
        <v>642</v>
      </c>
      <c r="D33" s="0" t="s">
        <v>435</v>
      </c>
      <c r="E33" s="261" t="s">
        <v>644</v>
      </c>
      <c r="G33" s="267" t="n">
        <v>1.59788409129045</v>
      </c>
      <c r="H33" s="267" t="n">
        <v>1.77247640083529</v>
      </c>
      <c r="I33" s="267" t="n">
        <v>1.85179016581604</v>
      </c>
      <c r="J33" s="267" t="n">
        <v>1.87878741995944</v>
      </c>
      <c r="K33" s="267" t="n">
        <v>1.95167978027999</v>
      </c>
      <c r="L33" s="265" t="s">
        <v>76</v>
      </c>
      <c r="M33" s="265" t="s">
        <v>76</v>
      </c>
      <c r="N33" s="265" t="s">
        <v>76</v>
      </c>
    </row>
    <row r="34" customFormat="false" ht="13.8" hidden="false" customHeight="false" outlineLevel="0" collapsed="false">
      <c r="A34" s="210" t="s">
        <v>22</v>
      </c>
      <c r="B34" s="0" t="s">
        <v>431</v>
      </c>
      <c r="C34" s="266" t="s">
        <v>642</v>
      </c>
      <c r="D34" s="0" t="s">
        <v>435</v>
      </c>
      <c r="E34" s="261" t="s">
        <v>645</v>
      </c>
      <c r="G34" s="267" t="n">
        <v>1.59788409129045</v>
      </c>
      <c r="H34" s="267" t="n">
        <v>1.77247640083529</v>
      </c>
      <c r="I34" s="267" t="n">
        <v>1.85179016581604</v>
      </c>
      <c r="J34" s="267" t="n">
        <v>1.87878741995944</v>
      </c>
      <c r="K34" s="267" t="n">
        <v>1.95167978027999</v>
      </c>
      <c r="L34" s="265" t="s">
        <v>76</v>
      </c>
      <c r="M34" s="265" t="s">
        <v>76</v>
      </c>
      <c r="N34" s="265" t="s">
        <v>76</v>
      </c>
    </row>
    <row r="35" customFormat="false" ht="13.8" hidden="false" customHeight="false" outlineLevel="0" collapsed="false">
      <c r="A35" s="210" t="s">
        <v>23</v>
      </c>
      <c r="B35" s="0" t="s">
        <v>431</v>
      </c>
      <c r="C35" s="266" t="s">
        <v>642</v>
      </c>
      <c r="D35" s="0" t="s">
        <v>435</v>
      </c>
      <c r="E35" s="261" t="s">
        <v>646</v>
      </c>
      <c r="G35" s="267" t="n">
        <v>1.59788409129045</v>
      </c>
      <c r="H35" s="267" t="n">
        <v>1.77247640083529</v>
      </c>
      <c r="I35" s="267" t="n">
        <v>1.85179016581604</v>
      </c>
      <c r="J35" s="267" t="n">
        <v>1.87878741995944</v>
      </c>
      <c r="K35" s="267" t="n">
        <v>1.95167978027999</v>
      </c>
      <c r="L35" s="265" t="s">
        <v>76</v>
      </c>
      <c r="M35" s="265" t="s">
        <v>76</v>
      </c>
      <c r="N35" s="265" t="s">
        <v>76</v>
      </c>
    </row>
    <row r="36" customFormat="false" ht="13.8" hidden="false" customHeight="false" outlineLevel="0" collapsed="false">
      <c r="A36" s="210" t="s">
        <v>24</v>
      </c>
      <c r="B36" s="0" t="s">
        <v>431</v>
      </c>
      <c r="C36" s="266" t="s">
        <v>642</v>
      </c>
      <c r="D36" s="0" t="s">
        <v>435</v>
      </c>
      <c r="E36" s="261" t="s">
        <v>647</v>
      </c>
      <c r="G36" s="267" t="n">
        <v>1.59788409129045</v>
      </c>
      <c r="H36" s="267" t="n">
        <v>1.77247640083529</v>
      </c>
      <c r="I36" s="267" t="n">
        <v>1.85179016581604</v>
      </c>
      <c r="J36" s="267" t="n">
        <v>1.87878741995944</v>
      </c>
      <c r="K36" s="267" t="n">
        <v>1.95167978027999</v>
      </c>
      <c r="L36" s="265" t="s">
        <v>76</v>
      </c>
      <c r="M36" s="265" t="s">
        <v>76</v>
      </c>
      <c r="N36" s="265" t="s">
        <v>76</v>
      </c>
    </row>
    <row r="37" customFormat="false" ht="13.8" hidden="false" customHeight="false" outlineLevel="0" collapsed="false">
      <c r="A37" s="210" t="s">
        <v>25</v>
      </c>
      <c r="B37" s="0" t="s">
        <v>431</v>
      </c>
      <c r="C37" s="266" t="s">
        <v>642</v>
      </c>
      <c r="D37" s="0" t="s">
        <v>435</v>
      </c>
      <c r="E37" s="261" t="s">
        <v>648</v>
      </c>
      <c r="G37" s="267" t="n">
        <v>1.59788409129045</v>
      </c>
      <c r="H37" s="267" t="n">
        <v>1.77247640083529</v>
      </c>
      <c r="I37" s="267" t="n">
        <v>1.85179016581604</v>
      </c>
      <c r="J37" s="267" t="n">
        <v>1.87878741995944</v>
      </c>
      <c r="K37" s="267" t="n">
        <v>1.95167978027999</v>
      </c>
      <c r="L37" s="265" t="s">
        <v>76</v>
      </c>
      <c r="M37" s="265" t="s">
        <v>76</v>
      </c>
      <c r="N37" s="265" t="s">
        <v>76</v>
      </c>
    </row>
    <row r="38" customFormat="false" ht="13.8" hidden="false" customHeight="false" outlineLevel="0" collapsed="false">
      <c r="A38" s="210" t="s">
        <v>26</v>
      </c>
      <c r="B38" s="0" t="s">
        <v>431</v>
      </c>
      <c r="C38" s="266" t="s">
        <v>642</v>
      </c>
      <c r="D38" s="0" t="s">
        <v>435</v>
      </c>
      <c r="E38" s="261" t="s">
        <v>649</v>
      </c>
      <c r="G38" s="267" t="n">
        <v>1.59788409129045</v>
      </c>
      <c r="H38" s="267" t="n">
        <v>1.77247640083529</v>
      </c>
      <c r="I38" s="267" t="n">
        <v>1.85179016581604</v>
      </c>
      <c r="J38" s="267" t="n">
        <v>1.87878741995944</v>
      </c>
      <c r="K38" s="267" t="n">
        <v>1.95167978027999</v>
      </c>
      <c r="L38" s="265" t="s">
        <v>76</v>
      </c>
      <c r="M38" s="265" t="s">
        <v>76</v>
      </c>
      <c r="N38" s="265" t="s">
        <v>76</v>
      </c>
    </row>
    <row r="39" customFormat="false" ht="13.8" hidden="false" customHeight="false" outlineLevel="0" collapsed="false">
      <c r="A39" s="210" t="s">
        <v>27</v>
      </c>
      <c r="B39" s="0" t="s">
        <v>431</v>
      </c>
      <c r="C39" s="266" t="s">
        <v>642</v>
      </c>
      <c r="D39" s="0" t="s">
        <v>435</v>
      </c>
      <c r="E39" s="261" t="s">
        <v>650</v>
      </c>
      <c r="G39" s="267" t="n">
        <v>1.59788409129045</v>
      </c>
      <c r="H39" s="267" t="n">
        <v>1.77247640083529</v>
      </c>
      <c r="I39" s="267" t="n">
        <v>1.85179016581604</v>
      </c>
      <c r="J39" s="267" t="n">
        <v>1.87878741995944</v>
      </c>
      <c r="K39" s="267" t="n">
        <v>1.95167978027999</v>
      </c>
      <c r="L39" s="265" t="s">
        <v>76</v>
      </c>
      <c r="M39" s="265" t="s">
        <v>76</v>
      </c>
      <c r="N39" s="265" t="s">
        <v>76</v>
      </c>
    </row>
    <row r="40" customFormat="false" ht="13.8" hidden="false" customHeight="false" outlineLevel="0" collapsed="false">
      <c r="A40" s="210" t="s">
        <v>28</v>
      </c>
      <c r="B40" s="0" t="s">
        <v>431</v>
      </c>
      <c r="C40" s="266" t="s">
        <v>642</v>
      </c>
      <c r="D40" s="0" t="s">
        <v>435</v>
      </c>
      <c r="E40" s="261" t="s">
        <v>651</v>
      </c>
      <c r="G40" s="267" t="n">
        <v>1.59788409129045</v>
      </c>
      <c r="H40" s="267" t="n">
        <v>1.77247640083529</v>
      </c>
      <c r="I40" s="267" t="n">
        <v>1.85179016581604</v>
      </c>
      <c r="J40" s="267" t="n">
        <v>1.87878741995944</v>
      </c>
      <c r="K40" s="267" t="n">
        <v>1.95167978027999</v>
      </c>
      <c r="L40" s="265" t="s">
        <v>76</v>
      </c>
      <c r="M40" s="265" t="s">
        <v>76</v>
      </c>
      <c r="N40" s="265" t="s">
        <v>76</v>
      </c>
    </row>
    <row r="41" customFormat="false" ht="13.8" hidden="false" customHeight="false" outlineLevel="0" collapsed="false">
      <c r="A41" s="210" t="s">
        <v>29</v>
      </c>
      <c r="B41" s="0" t="s">
        <v>431</v>
      </c>
      <c r="C41" s="266" t="s">
        <v>642</v>
      </c>
      <c r="D41" s="0" t="s">
        <v>435</v>
      </c>
      <c r="E41" s="261" t="s">
        <v>652</v>
      </c>
      <c r="G41" s="267" t="n">
        <v>1.59788409129045</v>
      </c>
      <c r="H41" s="267" t="n">
        <v>1.77247640083529</v>
      </c>
      <c r="I41" s="267" t="n">
        <v>1.85179016581604</v>
      </c>
      <c r="J41" s="267" t="n">
        <v>1.87878741995944</v>
      </c>
      <c r="K41" s="267" t="n">
        <v>1.95167978027999</v>
      </c>
      <c r="L41" s="265" t="s">
        <v>76</v>
      </c>
      <c r="M41" s="265" t="s">
        <v>76</v>
      </c>
      <c r="N41" s="265" t="s">
        <v>76</v>
      </c>
    </row>
    <row r="42" customFormat="false" ht="13.8" hidden="false" customHeight="false" outlineLevel="0" collapsed="false">
      <c r="A42" s="210" t="s">
        <v>30</v>
      </c>
      <c r="B42" s="0" t="s">
        <v>431</v>
      </c>
      <c r="C42" s="266" t="s">
        <v>642</v>
      </c>
      <c r="D42" s="0" t="s">
        <v>435</v>
      </c>
      <c r="E42" s="261" t="s">
        <v>653</v>
      </c>
      <c r="G42" s="267" t="n">
        <v>1.59788409129045</v>
      </c>
      <c r="H42" s="267" t="n">
        <v>1.77247640083529</v>
      </c>
      <c r="I42" s="267" t="n">
        <v>1.85179016581604</v>
      </c>
      <c r="J42" s="267" t="n">
        <v>1.87878741995944</v>
      </c>
      <c r="K42" s="267" t="n">
        <v>1.95167978027999</v>
      </c>
      <c r="L42" s="265" t="s">
        <v>76</v>
      </c>
      <c r="M42" s="265" t="s">
        <v>76</v>
      </c>
      <c r="N42" s="265" t="s">
        <v>76</v>
      </c>
    </row>
    <row r="43" customFormat="false" ht="13.8" hidden="false" customHeight="false" outlineLevel="0" collapsed="false">
      <c r="A43" s="210" t="s">
        <v>31</v>
      </c>
      <c r="B43" s="0" t="s">
        <v>431</v>
      </c>
      <c r="C43" s="266" t="s">
        <v>642</v>
      </c>
      <c r="D43" s="0" t="s">
        <v>435</v>
      </c>
      <c r="E43" s="261" t="s">
        <v>654</v>
      </c>
      <c r="G43" s="267" t="n">
        <v>1.59788409129045</v>
      </c>
      <c r="H43" s="267" t="n">
        <v>1.77247640083529</v>
      </c>
      <c r="I43" s="267" t="n">
        <v>1.85179016581604</v>
      </c>
      <c r="J43" s="267" t="n">
        <v>1.87878741995944</v>
      </c>
      <c r="K43" s="267" t="n">
        <v>1.95167978027999</v>
      </c>
      <c r="L43" s="265" t="s">
        <v>76</v>
      </c>
      <c r="M43" s="265" t="s">
        <v>76</v>
      </c>
      <c r="N43" s="265" t="s">
        <v>76</v>
      </c>
    </row>
    <row r="44" customFormat="false" ht="13.8" hidden="false" customHeight="false" outlineLevel="0" collapsed="false">
      <c r="A44" s="210" t="s">
        <v>32</v>
      </c>
      <c r="B44" s="0" t="s">
        <v>431</v>
      </c>
      <c r="C44" s="266" t="s">
        <v>642</v>
      </c>
      <c r="D44" s="0" t="s">
        <v>435</v>
      </c>
      <c r="E44" s="261" t="s">
        <v>655</v>
      </c>
      <c r="G44" s="267" t="n">
        <v>1.59788409129045</v>
      </c>
      <c r="H44" s="267" t="n">
        <v>1.77247640083529</v>
      </c>
      <c r="I44" s="267" t="n">
        <v>1.85179016581604</v>
      </c>
      <c r="J44" s="267" t="n">
        <v>1.87878741995944</v>
      </c>
      <c r="K44" s="267" t="n">
        <v>1.95167978027999</v>
      </c>
      <c r="L44" s="265" t="s">
        <v>76</v>
      </c>
      <c r="M44" s="265" t="s">
        <v>76</v>
      </c>
      <c r="N44" s="265" t="s">
        <v>76</v>
      </c>
    </row>
    <row r="45" customFormat="false" ht="13.8" hidden="false" customHeight="false" outlineLevel="0" collapsed="false">
      <c r="A45" s="210" t="s">
        <v>33</v>
      </c>
      <c r="B45" s="0" t="s">
        <v>431</v>
      </c>
      <c r="C45" s="266" t="s">
        <v>642</v>
      </c>
      <c r="D45" s="0" t="s">
        <v>435</v>
      </c>
      <c r="E45" s="261" t="s">
        <v>656</v>
      </c>
      <c r="G45" s="267" t="n">
        <v>1.59788409129045</v>
      </c>
      <c r="H45" s="267" t="n">
        <v>1.77247640083529</v>
      </c>
      <c r="I45" s="267" t="n">
        <v>1.85179016581604</v>
      </c>
      <c r="J45" s="267" t="n">
        <v>1.87878741995944</v>
      </c>
      <c r="K45" s="267" t="n">
        <v>1.95167978027999</v>
      </c>
      <c r="L45" s="265" t="s">
        <v>76</v>
      </c>
      <c r="M45" s="265" t="s">
        <v>76</v>
      </c>
      <c r="N45" s="265" t="s">
        <v>76</v>
      </c>
    </row>
    <row r="46" customFormat="false" ht="13.8" hidden="false" customHeight="false" outlineLevel="0" collapsed="false">
      <c r="A46" s="210" t="s">
        <v>34</v>
      </c>
      <c r="B46" s="0" t="s">
        <v>431</v>
      </c>
      <c r="C46" s="266" t="s">
        <v>642</v>
      </c>
      <c r="D46" s="0" t="s">
        <v>435</v>
      </c>
      <c r="E46" s="261" t="s">
        <v>657</v>
      </c>
      <c r="G46" s="267" t="n">
        <v>1.59788409129045</v>
      </c>
      <c r="H46" s="267" t="n">
        <v>1.77247640083529</v>
      </c>
      <c r="I46" s="267" t="n">
        <v>1.85179016581604</v>
      </c>
      <c r="J46" s="267" t="n">
        <v>1.87878741995944</v>
      </c>
      <c r="K46" s="267" t="n">
        <v>1.95167978027999</v>
      </c>
      <c r="L46" s="265" t="s">
        <v>76</v>
      </c>
      <c r="M46" s="265" t="s">
        <v>76</v>
      </c>
      <c r="N46" s="265" t="s">
        <v>76</v>
      </c>
    </row>
    <row r="47" customFormat="false" ht="13.8" hidden="false" customHeight="false" outlineLevel="0" collapsed="false">
      <c r="A47" s="210" t="s">
        <v>20</v>
      </c>
      <c r="B47" s="0" t="s">
        <v>431</v>
      </c>
      <c r="C47" s="266" t="s">
        <v>642</v>
      </c>
      <c r="D47" s="0" t="s">
        <v>626</v>
      </c>
      <c r="E47" s="261" t="s">
        <v>658</v>
      </c>
      <c r="G47" s="267" t="n">
        <v>2.36432432209757</v>
      </c>
      <c r="H47" s="267" t="n">
        <v>2.67035509863366</v>
      </c>
      <c r="I47" s="265" t="s">
        <v>76</v>
      </c>
      <c r="J47" s="265" t="s">
        <v>76</v>
      </c>
      <c r="K47" s="265" t="s">
        <v>76</v>
      </c>
      <c r="L47" s="265" t="s">
        <v>76</v>
      </c>
      <c r="M47" s="265" t="s">
        <v>76</v>
      </c>
      <c r="N47" s="265" t="s">
        <v>76</v>
      </c>
    </row>
    <row r="48" customFormat="false" ht="13.8" hidden="false" customHeight="false" outlineLevel="0" collapsed="false">
      <c r="A48" s="210" t="s">
        <v>21</v>
      </c>
      <c r="B48" s="0" t="s">
        <v>431</v>
      </c>
      <c r="C48" s="266" t="s">
        <v>642</v>
      </c>
      <c r="D48" s="0" t="s">
        <v>626</v>
      </c>
      <c r="E48" s="261" t="s">
        <v>659</v>
      </c>
      <c r="G48" s="267" t="n">
        <v>2.36432432209757</v>
      </c>
      <c r="H48" s="267" t="n">
        <v>2.67035509863366</v>
      </c>
      <c r="I48" s="265" t="s">
        <v>76</v>
      </c>
      <c r="J48" s="265" t="s">
        <v>76</v>
      </c>
      <c r="K48" s="265" t="s">
        <v>76</v>
      </c>
      <c r="L48" s="265" t="s">
        <v>76</v>
      </c>
      <c r="M48" s="265" t="s">
        <v>76</v>
      </c>
      <c r="N48" s="265" t="s">
        <v>76</v>
      </c>
    </row>
    <row r="49" customFormat="false" ht="13.8" hidden="false" customHeight="false" outlineLevel="0" collapsed="false">
      <c r="A49" s="210" t="s">
        <v>22</v>
      </c>
      <c r="B49" s="0" t="s">
        <v>431</v>
      </c>
      <c r="C49" s="266" t="s">
        <v>642</v>
      </c>
      <c r="D49" s="0" t="s">
        <v>626</v>
      </c>
      <c r="E49" s="261" t="s">
        <v>660</v>
      </c>
      <c r="G49" s="267" t="n">
        <v>2.36432432209757</v>
      </c>
      <c r="H49" s="267" t="n">
        <v>2.67035509863366</v>
      </c>
      <c r="I49" s="265" t="s">
        <v>76</v>
      </c>
      <c r="J49" s="265" t="s">
        <v>76</v>
      </c>
      <c r="K49" s="265" t="s">
        <v>76</v>
      </c>
      <c r="L49" s="265" t="s">
        <v>76</v>
      </c>
      <c r="M49" s="265" t="s">
        <v>76</v>
      </c>
      <c r="N49" s="265" t="s">
        <v>76</v>
      </c>
    </row>
    <row r="50" customFormat="false" ht="13.8" hidden="false" customHeight="false" outlineLevel="0" collapsed="false">
      <c r="A50" s="210" t="s">
        <v>23</v>
      </c>
      <c r="B50" s="0" t="s">
        <v>431</v>
      </c>
      <c r="C50" s="266" t="s">
        <v>642</v>
      </c>
      <c r="D50" s="0" t="s">
        <v>626</v>
      </c>
      <c r="E50" s="261" t="s">
        <v>661</v>
      </c>
      <c r="G50" s="267" t="n">
        <v>2.36432432209757</v>
      </c>
      <c r="H50" s="267" t="n">
        <v>2.67035509863366</v>
      </c>
      <c r="I50" s="265" t="s">
        <v>76</v>
      </c>
      <c r="J50" s="265" t="s">
        <v>76</v>
      </c>
      <c r="K50" s="265" t="s">
        <v>76</v>
      </c>
      <c r="L50" s="265" t="s">
        <v>76</v>
      </c>
      <c r="M50" s="265" t="s">
        <v>76</v>
      </c>
      <c r="N50" s="265" t="s">
        <v>76</v>
      </c>
    </row>
    <row r="51" customFormat="false" ht="13.8" hidden="false" customHeight="false" outlineLevel="0" collapsed="false">
      <c r="A51" s="210" t="s">
        <v>24</v>
      </c>
      <c r="B51" s="0" t="s">
        <v>431</v>
      </c>
      <c r="C51" s="266" t="s">
        <v>642</v>
      </c>
      <c r="D51" s="0" t="s">
        <v>626</v>
      </c>
      <c r="E51" s="261" t="s">
        <v>662</v>
      </c>
      <c r="G51" s="267" t="n">
        <v>2.36432432209757</v>
      </c>
      <c r="H51" s="267" t="n">
        <v>2.67035509863366</v>
      </c>
      <c r="I51" s="265" t="s">
        <v>76</v>
      </c>
      <c r="J51" s="265" t="s">
        <v>76</v>
      </c>
      <c r="K51" s="265" t="s">
        <v>76</v>
      </c>
      <c r="L51" s="265" t="s">
        <v>76</v>
      </c>
      <c r="M51" s="265" t="s">
        <v>76</v>
      </c>
      <c r="N51" s="265" t="s">
        <v>76</v>
      </c>
    </row>
    <row r="52" customFormat="false" ht="13.8" hidden="false" customHeight="false" outlineLevel="0" collapsed="false">
      <c r="A52" s="210" t="s">
        <v>25</v>
      </c>
      <c r="B52" s="0" t="s">
        <v>431</v>
      </c>
      <c r="C52" s="266" t="s">
        <v>642</v>
      </c>
      <c r="D52" s="0" t="s">
        <v>626</v>
      </c>
      <c r="E52" s="261" t="s">
        <v>663</v>
      </c>
      <c r="G52" s="267" t="n">
        <v>2.36432432209757</v>
      </c>
      <c r="H52" s="267" t="n">
        <v>2.67035509863366</v>
      </c>
      <c r="I52" s="265" t="s">
        <v>76</v>
      </c>
      <c r="J52" s="265" t="s">
        <v>76</v>
      </c>
      <c r="K52" s="265" t="s">
        <v>76</v>
      </c>
      <c r="L52" s="265" t="s">
        <v>76</v>
      </c>
      <c r="M52" s="265" t="s">
        <v>76</v>
      </c>
      <c r="N52" s="265" t="s">
        <v>76</v>
      </c>
    </row>
    <row r="53" customFormat="false" ht="13.8" hidden="false" customHeight="false" outlineLevel="0" collapsed="false">
      <c r="A53" s="210" t="s">
        <v>26</v>
      </c>
      <c r="B53" s="0" t="s">
        <v>431</v>
      </c>
      <c r="C53" s="266" t="s">
        <v>642</v>
      </c>
      <c r="D53" s="0" t="s">
        <v>626</v>
      </c>
      <c r="E53" s="261" t="s">
        <v>664</v>
      </c>
      <c r="G53" s="267" t="n">
        <v>2.36432432209757</v>
      </c>
      <c r="H53" s="267" t="n">
        <v>2.67035509863366</v>
      </c>
      <c r="I53" s="265" t="s">
        <v>76</v>
      </c>
      <c r="J53" s="265" t="s">
        <v>76</v>
      </c>
      <c r="K53" s="265" t="s">
        <v>76</v>
      </c>
      <c r="L53" s="265" t="s">
        <v>76</v>
      </c>
      <c r="M53" s="265" t="s">
        <v>76</v>
      </c>
      <c r="N53" s="265" t="s">
        <v>76</v>
      </c>
    </row>
    <row r="54" customFormat="false" ht="13.8" hidden="false" customHeight="false" outlineLevel="0" collapsed="false">
      <c r="A54" s="210" t="s">
        <v>27</v>
      </c>
      <c r="B54" s="0" t="s">
        <v>431</v>
      </c>
      <c r="C54" s="266" t="s">
        <v>642</v>
      </c>
      <c r="D54" s="0" t="s">
        <v>626</v>
      </c>
      <c r="E54" s="261" t="s">
        <v>665</v>
      </c>
      <c r="G54" s="267" t="n">
        <v>2.36432432209757</v>
      </c>
      <c r="H54" s="267" t="n">
        <v>2.67035509863366</v>
      </c>
      <c r="I54" s="265" t="s">
        <v>76</v>
      </c>
      <c r="J54" s="265" t="s">
        <v>76</v>
      </c>
      <c r="K54" s="265" t="s">
        <v>76</v>
      </c>
      <c r="L54" s="265" t="s">
        <v>76</v>
      </c>
      <c r="M54" s="265" t="s">
        <v>76</v>
      </c>
      <c r="N54" s="265" t="s">
        <v>76</v>
      </c>
    </row>
    <row r="55" customFormat="false" ht="13.8" hidden="false" customHeight="false" outlineLevel="0" collapsed="false">
      <c r="A55" s="210" t="s">
        <v>28</v>
      </c>
      <c r="B55" s="0" t="s">
        <v>431</v>
      </c>
      <c r="C55" s="266" t="s">
        <v>642</v>
      </c>
      <c r="D55" s="0" t="s">
        <v>626</v>
      </c>
      <c r="E55" s="261" t="s">
        <v>666</v>
      </c>
      <c r="G55" s="267" t="n">
        <v>2.36432432209757</v>
      </c>
      <c r="H55" s="267" t="n">
        <v>2.67035509863366</v>
      </c>
      <c r="I55" s="265" t="s">
        <v>76</v>
      </c>
      <c r="J55" s="265" t="s">
        <v>76</v>
      </c>
      <c r="K55" s="265" t="s">
        <v>76</v>
      </c>
      <c r="L55" s="265" t="s">
        <v>76</v>
      </c>
      <c r="M55" s="265" t="s">
        <v>76</v>
      </c>
      <c r="N55" s="265" t="s">
        <v>76</v>
      </c>
    </row>
    <row r="56" customFormat="false" ht="13.8" hidden="false" customHeight="false" outlineLevel="0" collapsed="false">
      <c r="A56" s="210" t="s">
        <v>29</v>
      </c>
      <c r="B56" s="0" t="s">
        <v>431</v>
      </c>
      <c r="C56" s="266" t="s">
        <v>642</v>
      </c>
      <c r="D56" s="0" t="s">
        <v>626</v>
      </c>
      <c r="E56" s="261" t="s">
        <v>667</v>
      </c>
      <c r="G56" s="267" t="n">
        <v>2.36432432209757</v>
      </c>
      <c r="H56" s="267" t="n">
        <v>2.67035509863366</v>
      </c>
      <c r="I56" s="265" t="s">
        <v>76</v>
      </c>
      <c r="J56" s="265" t="s">
        <v>76</v>
      </c>
      <c r="K56" s="265" t="s">
        <v>76</v>
      </c>
      <c r="L56" s="265" t="s">
        <v>76</v>
      </c>
      <c r="M56" s="265" t="s">
        <v>76</v>
      </c>
      <c r="N56" s="265" t="s">
        <v>76</v>
      </c>
    </row>
    <row r="57" customFormat="false" ht="13.8" hidden="false" customHeight="false" outlineLevel="0" collapsed="false">
      <c r="A57" s="210" t="s">
        <v>30</v>
      </c>
      <c r="B57" s="0" t="s">
        <v>431</v>
      </c>
      <c r="C57" s="266" t="s">
        <v>642</v>
      </c>
      <c r="D57" s="0" t="s">
        <v>626</v>
      </c>
      <c r="E57" s="261" t="s">
        <v>668</v>
      </c>
      <c r="G57" s="267" t="n">
        <v>2.36432432209757</v>
      </c>
      <c r="H57" s="267" t="n">
        <v>2.67035509863366</v>
      </c>
      <c r="I57" s="265" t="s">
        <v>76</v>
      </c>
      <c r="J57" s="265" t="s">
        <v>76</v>
      </c>
      <c r="K57" s="265" t="s">
        <v>76</v>
      </c>
      <c r="L57" s="265" t="s">
        <v>76</v>
      </c>
      <c r="M57" s="265" t="s">
        <v>76</v>
      </c>
      <c r="N57" s="265" t="s">
        <v>76</v>
      </c>
    </row>
    <row r="58" customFormat="false" ht="13.8" hidden="false" customHeight="false" outlineLevel="0" collapsed="false">
      <c r="A58" s="210" t="s">
        <v>31</v>
      </c>
      <c r="B58" s="0" t="s">
        <v>431</v>
      </c>
      <c r="C58" s="266" t="s">
        <v>642</v>
      </c>
      <c r="D58" s="0" t="s">
        <v>626</v>
      </c>
      <c r="E58" s="261" t="s">
        <v>669</v>
      </c>
      <c r="G58" s="267" t="n">
        <v>2.36432432209757</v>
      </c>
      <c r="H58" s="267" t="n">
        <v>2.67035509863366</v>
      </c>
      <c r="I58" s="265" t="s">
        <v>76</v>
      </c>
      <c r="J58" s="265" t="s">
        <v>76</v>
      </c>
      <c r="K58" s="265" t="s">
        <v>76</v>
      </c>
      <c r="L58" s="265" t="s">
        <v>76</v>
      </c>
      <c r="M58" s="265" t="s">
        <v>76</v>
      </c>
      <c r="N58" s="265" t="s">
        <v>76</v>
      </c>
    </row>
    <row r="59" customFormat="false" ht="13.8" hidden="false" customHeight="false" outlineLevel="0" collapsed="false">
      <c r="A59" s="210" t="s">
        <v>32</v>
      </c>
      <c r="B59" s="0" t="s">
        <v>431</v>
      </c>
      <c r="C59" s="266" t="s">
        <v>642</v>
      </c>
      <c r="D59" s="0" t="s">
        <v>626</v>
      </c>
      <c r="E59" s="261" t="s">
        <v>670</v>
      </c>
      <c r="G59" s="267" t="n">
        <v>2.36432432209757</v>
      </c>
      <c r="H59" s="267" t="n">
        <v>2.67035509863366</v>
      </c>
      <c r="I59" s="265" t="s">
        <v>76</v>
      </c>
      <c r="J59" s="265" t="s">
        <v>76</v>
      </c>
      <c r="K59" s="265" t="s">
        <v>76</v>
      </c>
      <c r="L59" s="265" t="s">
        <v>76</v>
      </c>
      <c r="M59" s="265" t="s">
        <v>76</v>
      </c>
      <c r="N59" s="265" t="s">
        <v>76</v>
      </c>
    </row>
    <row r="60" customFormat="false" ht="13.8" hidden="false" customHeight="false" outlineLevel="0" collapsed="false">
      <c r="A60" s="210" t="s">
        <v>33</v>
      </c>
      <c r="B60" s="0" t="s">
        <v>431</v>
      </c>
      <c r="C60" s="266" t="s">
        <v>642</v>
      </c>
      <c r="D60" s="0" t="s">
        <v>626</v>
      </c>
      <c r="E60" s="261" t="s">
        <v>671</v>
      </c>
      <c r="G60" s="267" t="n">
        <v>2.36432432209757</v>
      </c>
      <c r="H60" s="267" t="n">
        <v>2.67035509863366</v>
      </c>
      <c r="I60" s="265" t="s">
        <v>76</v>
      </c>
      <c r="J60" s="265" t="s">
        <v>76</v>
      </c>
      <c r="K60" s="265" t="s">
        <v>76</v>
      </c>
      <c r="L60" s="265" t="s">
        <v>76</v>
      </c>
      <c r="M60" s="265" t="s">
        <v>76</v>
      </c>
      <c r="N60" s="265" t="s">
        <v>76</v>
      </c>
    </row>
    <row r="61" customFormat="false" ht="13.8" hidden="false" customHeight="false" outlineLevel="0" collapsed="false">
      <c r="A61" s="210" t="s">
        <v>34</v>
      </c>
      <c r="B61" s="0" t="s">
        <v>431</v>
      </c>
      <c r="C61" s="266" t="s">
        <v>642</v>
      </c>
      <c r="D61" s="0" t="s">
        <v>626</v>
      </c>
      <c r="E61" s="261" t="s">
        <v>672</v>
      </c>
      <c r="G61" s="267" t="n">
        <v>2.36432432209757</v>
      </c>
      <c r="H61" s="267" t="n">
        <v>2.67035509863366</v>
      </c>
      <c r="I61" s="265" t="s">
        <v>76</v>
      </c>
      <c r="J61" s="265" t="s">
        <v>76</v>
      </c>
      <c r="K61" s="265" t="s">
        <v>76</v>
      </c>
      <c r="L61" s="265" t="s">
        <v>76</v>
      </c>
      <c r="M61" s="265" t="s">
        <v>76</v>
      </c>
      <c r="N61" s="265" t="s">
        <v>76</v>
      </c>
    </row>
    <row r="62" customFormat="false" ht="13.8" hidden="false" customHeight="false" outlineLevel="0" collapsed="false">
      <c r="A62" s="210" t="s">
        <v>20</v>
      </c>
      <c r="B62" s="0" t="s">
        <v>431</v>
      </c>
      <c r="C62" s="266" t="s">
        <v>673</v>
      </c>
      <c r="D62" s="0" t="s">
        <v>435</v>
      </c>
      <c r="E62" s="261" t="s">
        <v>674</v>
      </c>
      <c r="G62" s="268" t="n">
        <v>0.406695071691221</v>
      </c>
      <c r="H62" s="268" t="n">
        <v>0.475935713433523</v>
      </c>
      <c r="I62" s="268" t="n">
        <v>0.479578637663469</v>
      </c>
      <c r="J62" s="268" t="n">
        <v>0.481905464178532</v>
      </c>
      <c r="K62" s="268" t="n">
        <v>0.481905464178532</v>
      </c>
      <c r="L62" s="268" t="n">
        <v>0.756995450581286</v>
      </c>
      <c r="M62" s="268" t="n">
        <v>1.05278694105965</v>
      </c>
      <c r="N62" s="268" t="n">
        <v>1.45702058034185</v>
      </c>
    </row>
    <row r="63" customFormat="false" ht="13.8" hidden="false" customHeight="false" outlineLevel="0" collapsed="false">
      <c r="A63" s="210" t="s">
        <v>21</v>
      </c>
      <c r="B63" s="0" t="s">
        <v>431</v>
      </c>
      <c r="C63" s="266" t="s">
        <v>673</v>
      </c>
      <c r="D63" s="0" t="s">
        <v>435</v>
      </c>
      <c r="E63" s="261" t="s">
        <v>675</v>
      </c>
      <c r="G63" s="268" t="n">
        <v>0.406695071691221</v>
      </c>
      <c r="H63" s="268" t="n">
        <v>0.475935713433523</v>
      </c>
      <c r="I63" s="268" t="n">
        <v>0.479578637663469</v>
      </c>
      <c r="J63" s="268" t="n">
        <v>0.481905464178532</v>
      </c>
      <c r="K63" s="268" t="n">
        <v>0.481905464178532</v>
      </c>
      <c r="L63" s="268" t="n">
        <v>0.756995450581286</v>
      </c>
      <c r="M63" s="268" t="n">
        <v>1.05278694105965</v>
      </c>
      <c r="N63" s="268" t="n">
        <v>1.45702058034185</v>
      </c>
    </row>
    <row r="64" customFormat="false" ht="13.8" hidden="false" customHeight="false" outlineLevel="0" collapsed="false">
      <c r="A64" s="210" t="s">
        <v>22</v>
      </c>
      <c r="B64" s="0" t="s">
        <v>431</v>
      </c>
      <c r="C64" s="266" t="s">
        <v>673</v>
      </c>
      <c r="D64" s="0" t="s">
        <v>435</v>
      </c>
      <c r="E64" s="261" t="s">
        <v>676</v>
      </c>
      <c r="G64" s="268" t="n">
        <v>0.406695071691221</v>
      </c>
      <c r="H64" s="268" t="n">
        <v>0.475935713433523</v>
      </c>
      <c r="I64" s="268" t="n">
        <v>0.479578637663469</v>
      </c>
      <c r="J64" s="268" t="n">
        <v>0.481905464178532</v>
      </c>
      <c r="K64" s="268" t="n">
        <v>0.481905464178532</v>
      </c>
      <c r="L64" s="268" t="n">
        <v>0.756995450581286</v>
      </c>
      <c r="M64" s="268" t="n">
        <v>1.05278694105965</v>
      </c>
      <c r="N64" s="268" t="n">
        <v>1.45702058034185</v>
      </c>
    </row>
    <row r="65" customFormat="false" ht="13.8" hidden="false" customHeight="false" outlineLevel="0" collapsed="false">
      <c r="A65" s="210" t="s">
        <v>23</v>
      </c>
      <c r="B65" s="0" t="s">
        <v>431</v>
      </c>
      <c r="C65" s="266" t="s">
        <v>673</v>
      </c>
      <c r="D65" s="0" t="s">
        <v>435</v>
      </c>
      <c r="E65" s="261" t="s">
        <v>677</v>
      </c>
      <c r="G65" s="268" t="n">
        <v>0.406695071691221</v>
      </c>
      <c r="H65" s="268" t="n">
        <v>0.475935713433523</v>
      </c>
      <c r="I65" s="268" t="n">
        <v>0.479578637663469</v>
      </c>
      <c r="J65" s="268" t="n">
        <v>0.481905464178532</v>
      </c>
      <c r="K65" s="268" t="n">
        <v>0.481905464178532</v>
      </c>
      <c r="L65" s="268" t="n">
        <v>0.756995450581286</v>
      </c>
      <c r="M65" s="268" t="n">
        <v>1.05278694105965</v>
      </c>
      <c r="N65" s="268" t="n">
        <v>1.45702058034185</v>
      </c>
    </row>
    <row r="66" customFormat="false" ht="13.8" hidden="false" customHeight="false" outlineLevel="0" collapsed="false">
      <c r="A66" s="210" t="s">
        <v>24</v>
      </c>
      <c r="B66" s="0" t="s">
        <v>431</v>
      </c>
      <c r="C66" s="266" t="s">
        <v>673</v>
      </c>
      <c r="D66" s="0" t="s">
        <v>435</v>
      </c>
      <c r="E66" s="261" t="s">
        <v>678</v>
      </c>
      <c r="G66" s="268" t="n">
        <v>0.406695071691221</v>
      </c>
      <c r="H66" s="268" t="n">
        <v>0.475935713433523</v>
      </c>
      <c r="I66" s="268" t="n">
        <v>0.479578637663469</v>
      </c>
      <c r="J66" s="268" t="n">
        <v>0.481905464178532</v>
      </c>
      <c r="K66" s="268" t="n">
        <v>0.481905464178532</v>
      </c>
      <c r="L66" s="268" t="n">
        <v>0.756995450581286</v>
      </c>
      <c r="M66" s="268" t="n">
        <v>1.05278694105965</v>
      </c>
      <c r="N66" s="268" t="n">
        <v>1.45702058034185</v>
      </c>
    </row>
    <row r="67" customFormat="false" ht="13.8" hidden="false" customHeight="false" outlineLevel="0" collapsed="false">
      <c r="A67" s="210" t="s">
        <v>25</v>
      </c>
      <c r="B67" s="0" t="s">
        <v>431</v>
      </c>
      <c r="C67" s="266" t="s">
        <v>673</v>
      </c>
      <c r="D67" s="0" t="s">
        <v>435</v>
      </c>
      <c r="E67" s="261" t="s">
        <v>679</v>
      </c>
      <c r="G67" s="268" t="n">
        <v>0.406695071691221</v>
      </c>
      <c r="H67" s="268" t="n">
        <v>0.475935713433523</v>
      </c>
      <c r="I67" s="268" t="n">
        <v>0.479578637663469</v>
      </c>
      <c r="J67" s="268" t="n">
        <v>0.481905464178532</v>
      </c>
      <c r="K67" s="268" t="n">
        <v>0.481905464178532</v>
      </c>
      <c r="L67" s="268" t="n">
        <v>0.756995450581286</v>
      </c>
      <c r="M67" s="268" t="n">
        <v>1.05278694105965</v>
      </c>
      <c r="N67" s="268" t="n">
        <v>1.45702058034185</v>
      </c>
    </row>
    <row r="68" customFormat="false" ht="13.8" hidden="false" customHeight="false" outlineLevel="0" collapsed="false">
      <c r="A68" s="210" t="s">
        <v>26</v>
      </c>
      <c r="B68" s="0" t="s">
        <v>431</v>
      </c>
      <c r="C68" s="266" t="s">
        <v>673</v>
      </c>
      <c r="D68" s="0" t="s">
        <v>435</v>
      </c>
      <c r="E68" s="261" t="s">
        <v>680</v>
      </c>
      <c r="G68" s="268" t="n">
        <v>0.406695071691221</v>
      </c>
      <c r="H68" s="268" t="n">
        <v>0.475935713433523</v>
      </c>
      <c r="I68" s="268" t="n">
        <v>0.479578637663469</v>
      </c>
      <c r="J68" s="268" t="n">
        <v>0.481905464178532</v>
      </c>
      <c r="K68" s="268" t="n">
        <v>0.481905464178532</v>
      </c>
      <c r="L68" s="268" t="n">
        <v>0.756995450581286</v>
      </c>
      <c r="M68" s="268" t="n">
        <v>1.05278694105965</v>
      </c>
      <c r="N68" s="268" t="n">
        <v>1.45702058034185</v>
      </c>
    </row>
    <row r="69" customFormat="false" ht="13.8" hidden="false" customHeight="false" outlineLevel="0" collapsed="false">
      <c r="A69" s="210" t="s">
        <v>27</v>
      </c>
      <c r="B69" s="0" t="s">
        <v>431</v>
      </c>
      <c r="C69" s="266" t="s">
        <v>673</v>
      </c>
      <c r="D69" s="0" t="s">
        <v>435</v>
      </c>
      <c r="E69" s="261" t="s">
        <v>681</v>
      </c>
      <c r="G69" s="268" t="n">
        <v>0.406695071691221</v>
      </c>
      <c r="H69" s="268" t="n">
        <v>0.475935713433523</v>
      </c>
      <c r="I69" s="268" t="n">
        <v>0.479578637663469</v>
      </c>
      <c r="J69" s="268" t="n">
        <v>0.481905464178532</v>
      </c>
      <c r="K69" s="268" t="n">
        <v>0.481905464178532</v>
      </c>
      <c r="L69" s="268" t="n">
        <v>0.756995450581286</v>
      </c>
      <c r="M69" s="268" t="n">
        <v>1.05278694105965</v>
      </c>
      <c r="N69" s="268" t="n">
        <v>1.45702058034185</v>
      </c>
    </row>
    <row r="70" customFormat="false" ht="13.8" hidden="false" customHeight="false" outlineLevel="0" collapsed="false">
      <c r="A70" s="210" t="s">
        <v>28</v>
      </c>
      <c r="B70" s="0" t="s">
        <v>431</v>
      </c>
      <c r="C70" s="266" t="s">
        <v>673</v>
      </c>
      <c r="D70" s="0" t="s">
        <v>435</v>
      </c>
      <c r="E70" s="261" t="s">
        <v>682</v>
      </c>
      <c r="G70" s="268" t="n">
        <v>0.406695071691221</v>
      </c>
      <c r="H70" s="268" t="n">
        <v>0.475935713433523</v>
      </c>
      <c r="I70" s="268" t="n">
        <v>0.479578637663469</v>
      </c>
      <c r="J70" s="268" t="n">
        <v>0.481905464178532</v>
      </c>
      <c r="K70" s="268" t="n">
        <v>0.481905464178532</v>
      </c>
      <c r="L70" s="268" t="n">
        <v>0.756995450581286</v>
      </c>
      <c r="M70" s="268" t="n">
        <v>1.05278694105965</v>
      </c>
      <c r="N70" s="268" t="n">
        <v>1.45702058034185</v>
      </c>
    </row>
    <row r="71" customFormat="false" ht="13.8" hidden="false" customHeight="false" outlineLevel="0" collapsed="false">
      <c r="A71" s="210" t="s">
        <v>29</v>
      </c>
      <c r="B71" s="0" t="s">
        <v>431</v>
      </c>
      <c r="C71" s="266" t="s">
        <v>673</v>
      </c>
      <c r="D71" s="0" t="s">
        <v>435</v>
      </c>
      <c r="E71" s="261" t="s">
        <v>683</v>
      </c>
      <c r="G71" s="268" t="n">
        <v>0.406695071691221</v>
      </c>
      <c r="H71" s="268" t="n">
        <v>0.475935713433523</v>
      </c>
      <c r="I71" s="268" t="n">
        <v>0.479578637663469</v>
      </c>
      <c r="J71" s="268" t="n">
        <v>0.481905464178532</v>
      </c>
      <c r="K71" s="268" t="n">
        <v>0.481905464178532</v>
      </c>
      <c r="L71" s="268" t="n">
        <v>0.756995450581286</v>
      </c>
      <c r="M71" s="268" t="n">
        <v>1.05278694105965</v>
      </c>
      <c r="N71" s="268" t="n">
        <v>1.45702058034185</v>
      </c>
    </row>
    <row r="72" customFormat="false" ht="13.8" hidden="false" customHeight="false" outlineLevel="0" collapsed="false">
      <c r="A72" s="210" t="s">
        <v>30</v>
      </c>
      <c r="B72" s="0" t="s">
        <v>431</v>
      </c>
      <c r="C72" s="266" t="s">
        <v>673</v>
      </c>
      <c r="D72" s="0" t="s">
        <v>435</v>
      </c>
      <c r="E72" s="261" t="s">
        <v>684</v>
      </c>
      <c r="G72" s="268" t="n">
        <v>0.406695071691221</v>
      </c>
      <c r="H72" s="268" t="n">
        <v>0.475935713433523</v>
      </c>
      <c r="I72" s="268" t="n">
        <v>0.479578637663469</v>
      </c>
      <c r="J72" s="268" t="n">
        <v>0.481905464178532</v>
      </c>
      <c r="K72" s="268" t="n">
        <v>0.481905464178532</v>
      </c>
      <c r="L72" s="268" t="n">
        <v>0.756995450581286</v>
      </c>
      <c r="M72" s="268" t="n">
        <v>1.05278694105965</v>
      </c>
      <c r="N72" s="268" t="n">
        <v>1.45702058034185</v>
      </c>
    </row>
    <row r="73" customFormat="false" ht="13.8" hidden="false" customHeight="false" outlineLevel="0" collapsed="false">
      <c r="A73" s="210" t="s">
        <v>31</v>
      </c>
      <c r="B73" s="0" t="s">
        <v>431</v>
      </c>
      <c r="C73" s="266" t="s">
        <v>673</v>
      </c>
      <c r="D73" s="0" t="s">
        <v>435</v>
      </c>
      <c r="E73" s="261" t="s">
        <v>685</v>
      </c>
      <c r="G73" s="268" t="n">
        <v>0.406695071691221</v>
      </c>
      <c r="H73" s="268" t="n">
        <v>0.475935713433523</v>
      </c>
      <c r="I73" s="268" t="n">
        <v>0.479578637663469</v>
      </c>
      <c r="J73" s="268" t="n">
        <v>0.481905464178532</v>
      </c>
      <c r="K73" s="268" t="n">
        <v>0.481905464178532</v>
      </c>
      <c r="L73" s="268" t="n">
        <v>0.756995450581286</v>
      </c>
      <c r="M73" s="268" t="n">
        <v>1.05278694105965</v>
      </c>
      <c r="N73" s="268" t="n">
        <v>1.45702058034185</v>
      </c>
    </row>
    <row r="74" customFormat="false" ht="13.8" hidden="false" customHeight="false" outlineLevel="0" collapsed="false">
      <c r="A74" s="210" t="s">
        <v>32</v>
      </c>
      <c r="B74" s="0" t="s">
        <v>431</v>
      </c>
      <c r="C74" s="266" t="s">
        <v>673</v>
      </c>
      <c r="D74" s="0" t="s">
        <v>435</v>
      </c>
      <c r="E74" s="261" t="s">
        <v>686</v>
      </c>
      <c r="G74" s="268" t="n">
        <v>0.406695071691221</v>
      </c>
      <c r="H74" s="268" t="n">
        <v>0.475935713433523</v>
      </c>
      <c r="I74" s="268" t="n">
        <v>0.479578637663469</v>
      </c>
      <c r="J74" s="268" t="n">
        <v>0.481905464178532</v>
      </c>
      <c r="K74" s="268" t="n">
        <v>0.481905464178532</v>
      </c>
      <c r="L74" s="268" t="n">
        <v>0.756995450581286</v>
      </c>
      <c r="M74" s="268" t="n">
        <v>1.05278694105965</v>
      </c>
      <c r="N74" s="268" t="n">
        <v>1.45702058034185</v>
      </c>
    </row>
    <row r="75" customFormat="false" ht="13.8" hidden="false" customHeight="false" outlineLevel="0" collapsed="false">
      <c r="A75" s="210" t="s">
        <v>33</v>
      </c>
      <c r="B75" s="0" t="s">
        <v>431</v>
      </c>
      <c r="C75" s="266" t="s">
        <v>673</v>
      </c>
      <c r="D75" s="0" t="s">
        <v>435</v>
      </c>
      <c r="E75" s="261" t="s">
        <v>687</v>
      </c>
      <c r="G75" s="268" t="n">
        <v>0.406695071691221</v>
      </c>
      <c r="H75" s="268" t="n">
        <v>0.475935713433523</v>
      </c>
      <c r="I75" s="268" t="n">
        <v>0.479578637663469</v>
      </c>
      <c r="J75" s="268" t="n">
        <v>0.481905464178532</v>
      </c>
      <c r="K75" s="268" t="n">
        <v>0.481905464178532</v>
      </c>
      <c r="L75" s="268" t="n">
        <v>0.756995450581286</v>
      </c>
      <c r="M75" s="268" t="n">
        <v>1.05278694105965</v>
      </c>
      <c r="N75" s="268" t="n">
        <v>1.45702058034185</v>
      </c>
    </row>
    <row r="76" customFormat="false" ht="13.8" hidden="false" customHeight="false" outlineLevel="0" collapsed="false">
      <c r="A76" s="210" t="s">
        <v>34</v>
      </c>
      <c r="B76" s="0" t="s">
        <v>431</v>
      </c>
      <c r="C76" s="266" t="s">
        <v>673</v>
      </c>
      <c r="D76" s="0" t="s">
        <v>435</v>
      </c>
      <c r="E76" s="261" t="s">
        <v>688</v>
      </c>
      <c r="G76" s="268" t="n">
        <v>0.406695071691221</v>
      </c>
      <c r="H76" s="268" t="n">
        <v>0.475935713433523</v>
      </c>
      <c r="I76" s="268" t="n">
        <v>0.479578637663469</v>
      </c>
      <c r="J76" s="268" t="n">
        <v>0.481905464178532</v>
      </c>
      <c r="K76" s="268" t="n">
        <v>0.481905464178532</v>
      </c>
      <c r="L76" s="268" t="n">
        <v>0.756995450581286</v>
      </c>
      <c r="M76" s="268" t="n">
        <v>1.05278694105965</v>
      </c>
      <c r="N76" s="268" t="n">
        <v>1.45702058034185</v>
      </c>
    </row>
    <row r="77" customFormat="false" ht="13.8" hidden="false" customHeight="false" outlineLevel="0" collapsed="false">
      <c r="A77" s="210" t="s">
        <v>20</v>
      </c>
      <c r="B77" s="0" t="s">
        <v>689</v>
      </c>
      <c r="C77" s="0" t="s">
        <v>433</v>
      </c>
      <c r="D77" s="0" t="s">
        <v>435</v>
      </c>
      <c r="E77" s="261" t="s">
        <v>690</v>
      </c>
      <c r="O77" s="264" t="n">
        <v>2.4247722691568</v>
      </c>
      <c r="P77" s="264" t="n">
        <v>2.87268031832045</v>
      </c>
      <c r="Q77" s="264" t="n">
        <v>3.01735089076213</v>
      </c>
      <c r="R77" s="264" t="n">
        <v>3.21138375561788</v>
      </c>
      <c r="S77" s="264" t="n">
        <v>5.76061386243377</v>
      </c>
    </row>
    <row r="78" customFormat="false" ht="13.8" hidden="false" customHeight="false" outlineLevel="0" collapsed="false">
      <c r="A78" s="210" t="s">
        <v>21</v>
      </c>
      <c r="B78" s="0" t="s">
        <v>689</v>
      </c>
      <c r="C78" s="0" t="s">
        <v>433</v>
      </c>
      <c r="D78" s="0" t="s">
        <v>435</v>
      </c>
      <c r="E78" s="261" t="s">
        <v>691</v>
      </c>
      <c r="O78" s="264" t="n">
        <v>2.45245291989154</v>
      </c>
      <c r="P78" s="264" t="n">
        <v>2.91100737318393</v>
      </c>
      <c r="Q78" s="264" t="n">
        <v>3.05993650727711</v>
      </c>
      <c r="R78" s="264" t="n">
        <v>3.25716329337148</v>
      </c>
      <c r="S78" s="264" t="n">
        <v>5.80852268101312</v>
      </c>
    </row>
    <row r="79" customFormat="false" ht="13.8" hidden="false" customHeight="false" outlineLevel="0" collapsed="false">
      <c r="A79" s="210" t="s">
        <v>22</v>
      </c>
      <c r="B79" s="0" t="s">
        <v>689</v>
      </c>
      <c r="C79" s="0" t="s">
        <v>433</v>
      </c>
      <c r="D79" s="0" t="s">
        <v>435</v>
      </c>
      <c r="E79" s="261" t="s">
        <v>692</v>
      </c>
      <c r="O79" s="264" t="n">
        <v>2.33080684178276</v>
      </c>
      <c r="P79" s="264" t="n">
        <v>2.74257434195639</v>
      </c>
      <c r="Q79" s="264" t="n">
        <v>2.87278869480207</v>
      </c>
      <c r="R79" s="264" t="n">
        <v>3.05597939496081</v>
      </c>
      <c r="S79" s="264" t="n">
        <v>5.5979813919787</v>
      </c>
    </row>
    <row r="80" customFormat="false" ht="13.8" hidden="false" customHeight="false" outlineLevel="0" collapsed="false">
      <c r="A80" s="210" t="s">
        <v>23</v>
      </c>
      <c r="B80" s="0" t="s">
        <v>689</v>
      </c>
      <c r="C80" s="0" t="s">
        <v>433</v>
      </c>
      <c r="D80" s="0" t="s">
        <v>435</v>
      </c>
      <c r="E80" s="261" t="s">
        <v>693</v>
      </c>
      <c r="O80" s="264" t="n">
        <v>2.41371459138276</v>
      </c>
      <c r="P80" s="264" t="n">
        <v>2.85736968755639</v>
      </c>
      <c r="Q80" s="264" t="n">
        <v>3.00033907880206</v>
      </c>
      <c r="R80" s="264" t="n">
        <v>3.19309605776081</v>
      </c>
      <c r="S80" s="264" t="n">
        <v>5.7414755739787</v>
      </c>
    </row>
    <row r="81" customFormat="false" ht="13.8" hidden="false" customHeight="false" outlineLevel="0" collapsed="false">
      <c r="A81" s="210" t="s">
        <v>24</v>
      </c>
      <c r="B81" s="0" t="s">
        <v>689</v>
      </c>
      <c r="C81" s="0" t="s">
        <v>433</v>
      </c>
      <c r="D81" s="0" t="s">
        <v>435</v>
      </c>
      <c r="E81" s="261" t="s">
        <v>694</v>
      </c>
      <c r="O81" s="264" t="n">
        <v>2.55867013666818</v>
      </c>
      <c r="P81" s="264" t="n">
        <v>3.05807736564389</v>
      </c>
      <c r="Q81" s="264" t="n">
        <v>3.2233476100104</v>
      </c>
      <c r="R81" s="264" t="n">
        <v>3.43283022880978</v>
      </c>
      <c r="S81" s="264" t="n">
        <v>5.99236017158808</v>
      </c>
    </row>
    <row r="82" customFormat="false" ht="13.8" hidden="false" customHeight="false" outlineLevel="0" collapsed="false">
      <c r="A82" s="210" t="s">
        <v>25</v>
      </c>
      <c r="B82" s="0" t="s">
        <v>689</v>
      </c>
      <c r="C82" s="0" t="s">
        <v>433</v>
      </c>
      <c r="D82" s="0" t="s">
        <v>435</v>
      </c>
      <c r="E82" s="261" t="s">
        <v>695</v>
      </c>
      <c r="O82" s="264" t="n">
        <v>2.810289845552</v>
      </c>
      <c r="P82" s="264" t="n">
        <v>3.40647388563687</v>
      </c>
      <c r="Q82" s="264" t="n">
        <v>3.61045485444705</v>
      </c>
      <c r="R82" s="264" t="n">
        <v>3.84897051657917</v>
      </c>
      <c r="S82" s="264" t="n">
        <v>6.4278558215793</v>
      </c>
    </row>
    <row r="83" customFormat="false" ht="13.8" hidden="false" customHeight="false" outlineLevel="0" collapsed="false">
      <c r="A83" s="210" t="s">
        <v>26</v>
      </c>
      <c r="B83" s="0" t="s">
        <v>689</v>
      </c>
      <c r="C83" s="0" t="s">
        <v>433</v>
      </c>
      <c r="D83" s="0" t="s">
        <v>435</v>
      </c>
      <c r="E83" s="261" t="s">
        <v>696</v>
      </c>
      <c r="O83" s="264" t="n">
        <v>2.52418757393345</v>
      </c>
      <c r="P83" s="264" t="n">
        <v>3.01033227878042</v>
      </c>
      <c r="Q83" s="264" t="n">
        <v>3.17029751349543</v>
      </c>
      <c r="R83" s="264" t="n">
        <v>3.37580137505618</v>
      </c>
      <c r="S83" s="264" t="n">
        <v>5.93267881300873</v>
      </c>
    </row>
    <row r="84" customFormat="false" ht="13.8" hidden="false" customHeight="false" outlineLevel="0" collapsed="false">
      <c r="A84" s="210" t="s">
        <v>27</v>
      </c>
      <c r="B84" s="0" t="s">
        <v>689</v>
      </c>
      <c r="C84" s="0" t="s">
        <v>433</v>
      </c>
      <c r="D84" s="0" t="s">
        <v>435</v>
      </c>
      <c r="E84" s="261" t="s">
        <v>697</v>
      </c>
      <c r="O84" s="264" t="n">
        <v>2.50448292161597</v>
      </c>
      <c r="P84" s="264" t="n">
        <v>2.98304891403315</v>
      </c>
      <c r="Q84" s="264" t="n">
        <v>3.13998266377624</v>
      </c>
      <c r="R84" s="264" t="n">
        <v>3.34321291160805</v>
      </c>
      <c r="S84" s="264" t="n">
        <v>5.89857460707464</v>
      </c>
    </row>
    <row r="85" customFormat="false" ht="13.8" hidden="false" customHeight="false" outlineLevel="0" collapsed="false">
      <c r="A85" s="210" t="s">
        <v>28</v>
      </c>
      <c r="B85" s="0" t="s">
        <v>689</v>
      </c>
      <c r="C85" s="0" t="s">
        <v>433</v>
      </c>
      <c r="D85" s="0" t="s">
        <v>435</v>
      </c>
      <c r="E85" s="261" t="s">
        <v>698</v>
      </c>
      <c r="O85" s="264" t="n">
        <v>2.793965256752</v>
      </c>
      <c r="P85" s="264" t="n">
        <v>3.38387060883687</v>
      </c>
      <c r="Q85" s="264" t="n">
        <v>3.58534010244705</v>
      </c>
      <c r="R85" s="264" t="n">
        <v>3.82197215817917</v>
      </c>
      <c r="S85" s="264" t="n">
        <v>6.3996017255793</v>
      </c>
    </row>
    <row r="86" customFormat="false" ht="13.8" hidden="false" customHeight="false" outlineLevel="0" collapsed="false">
      <c r="A86" s="210" t="s">
        <v>29</v>
      </c>
      <c r="B86" s="0" t="s">
        <v>689</v>
      </c>
      <c r="C86" s="0" t="s">
        <v>433</v>
      </c>
      <c r="D86" s="0" t="s">
        <v>435</v>
      </c>
      <c r="E86" s="261" t="s">
        <v>699</v>
      </c>
      <c r="O86" s="264" t="n">
        <v>2.3826004147568</v>
      </c>
      <c r="P86" s="264" t="n">
        <v>2.81428851992045</v>
      </c>
      <c r="Q86" s="264" t="n">
        <v>2.95247111476213</v>
      </c>
      <c r="R86" s="264" t="n">
        <v>3.14163799641788</v>
      </c>
      <c r="S86" s="264" t="n">
        <v>5.68762411443377</v>
      </c>
    </row>
    <row r="87" customFormat="false" ht="13.8" hidden="false" customHeight="false" outlineLevel="0" collapsed="false">
      <c r="A87" s="210" t="s">
        <v>30</v>
      </c>
      <c r="B87" s="0" t="s">
        <v>689</v>
      </c>
      <c r="C87" s="0" t="s">
        <v>433</v>
      </c>
      <c r="D87" s="0" t="s">
        <v>435</v>
      </c>
      <c r="E87" s="261" t="s">
        <v>700</v>
      </c>
      <c r="O87" s="264" t="n">
        <v>2.18290955816101</v>
      </c>
      <c r="P87" s="264" t="n">
        <v>2.53779348771088</v>
      </c>
      <c r="Q87" s="264" t="n">
        <v>2.64525441230706</v>
      </c>
      <c r="R87" s="264" t="n">
        <v>2.81138004127868</v>
      </c>
      <c r="S87" s="264" t="n">
        <v>5.34200532417182</v>
      </c>
    </row>
    <row r="88" customFormat="false" ht="13.8" hidden="false" customHeight="false" outlineLevel="0" collapsed="false">
      <c r="A88" s="210" t="s">
        <v>31</v>
      </c>
      <c r="B88" s="0" t="s">
        <v>689</v>
      </c>
      <c r="C88" s="0" t="s">
        <v>433</v>
      </c>
      <c r="D88" s="0" t="s">
        <v>435</v>
      </c>
      <c r="E88" s="261" t="s">
        <v>701</v>
      </c>
      <c r="O88" s="264" t="n">
        <v>2.23362005490297</v>
      </c>
      <c r="P88" s="264" t="n">
        <v>2.60800802166129</v>
      </c>
      <c r="Q88" s="264" t="n">
        <v>2.72327056114085</v>
      </c>
      <c r="R88" s="264" t="n">
        <v>2.895247401275</v>
      </c>
      <c r="S88" s="264" t="n">
        <v>5.42977349160983</v>
      </c>
    </row>
    <row r="89" customFormat="false" ht="13.8" hidden="false" customHeight="false" outlineLevel="0" collapsed="false">
      <c r="A89" s="210" t="s">
        <v>32</v>
      </c>
      <c r="B89" s="0" t="s">
        <v>689</v>
      </c>
      <c r="C89" s="0" t="s">
        <v>433</v>
      </c>
      <c r="D89" s="0" t="s">
        <v>435</v>
      </c>
      <c r="E89" s="261" t="s">
        <v>702</v>
      </c>
      <c r="O89" s="264" t="n">
        <v>2.23171805567109</v>
      </c>
      <c r="P89" s="264" t="n">
        <v>2.6053744842633</v>
      </c>
      <c r="Q89" s="264" t="n">
        <v>2.72034440847641</v>
      </c>
      <c r="R89" s="264" t="n">
        <v>2.89210178716074</v>
      </c>
      <c r="S89" s="264" t="n">
        <v>5.42648156986234</v>
      </c>
    </row>
    <row r="90" customFormat="false" ht="13.8" hidden="false" customHeight="false" outlineLevel="0" collapsed="false">
      <c r="A90" s="210" t="s">
        <v>33</v>
      </c>
      <c r="B90" s="0" t="s">
        <v>689</v>
      </c>
      <c r="C90" s="0" t="s">
        <v>433</v>
      </c>
      <c r="D90" s="0" t="s">
        <v>435</v>
      </c>
      <c r="E90" s="261" t="s">
        <v>703</v>
      </c>
      <c r="O90" s="264" t="n">
        <v>2.69369352144042</v>
      </c>
      <c r="P90" s="264" t="n">
        <v>3.24503282148238</v>
      </c>
      <c r="Q90" s="264" t="n">
        <v>3.43107589427539</v>
      </c>
      <c r="R90" s="264" t="n">
        <v>3.65613813439463</v>
      </c>
      <c r="S90" s="264" t="n">
        <v>6.22605449138618</v>
      </c>
    </row>
    <row r="91" customFormat="false" ht="13.8" hidden="false" customHeight="false" outlineLevel="0" collapsed="false">
      <c r="A91" s="210" t="s">
        <v>34</v>
      </c>
      <c r="B91" s="0" t="s">
        <v>689</v>
      </c>
      <c r="C91" s="0" t="s">
        <v>433</v>
      </c>
      <c r="D91" s="0" t="s">
        <v>435</v>
      </c>
      <c r="E91" s="261" t="s">
        <v>704</v>
      </c>
      <c r="O91" s="264" t="n">
        <v>2.67396213936555</v>
      </c>
      <c r="P91" s="264" t="n">
        <v>3.19516841515097</v>
      </c>
      <c r="Q91" s="264" t="n">
        <v>3.36755396906816</v>
      </c>
      <c r="R91" s="264" t="n">
        <v>3.58635120656656</v>
      </c>
      <c r="S91" s="264" t="n">
        <v>6.26464321438044</v>
      </c>
    </row>
    <row r="92" customFormat="false" ht="13.8" hidden="false" customHeight="false" outlineLevel="0" collapsed="false">
      <c r="A92" s="165" t="s">
        <v>21</v>
      </c>
      <c r="B92" s="0" t="s">
        <v>705</v>
      </c>
      <c r="D92" s="269" t="s">
        <v>706</v>
      </c>
      <c r="F92" s="270"/>
      <c r="G92" s="271" t="n">
        <v>1.31890671130813</v>
      </c>
      <c r="H92" s="271" t="n">
        <v>1.52821678012155</v>
      </c>
      <c r="I92" s="271" t="n">
        <v>1.71834736771227</v>
      </c>
      <c r="J92" s="271" t="n">
        <v>1.90839936593404</v>
      </c>
      <c r="K92" s="271" t="n">
        <v>2.2395658196809</v>
      </c>
      <c r="L92" s="271" t="n">
        <v>3.55809874903682</v>
      </c>
      <c r="M92" s="271" t="n">
        <v>5.48138486916906</v>
      </c>
      <c r="N92" s="271" t="n">
        <v>18.3688986690365</v>
      </c>
      <c r="O92" s="272"/>
      <c r="P92" s="272"/>
      <c r="Q92" s="272"/>
      <c r="R92" s="272"/>
    </row>
    <row r="93" customFormat="false" ht="13.8" hidden="false" customHeight="false" outlineLevel="0" collapsed="false">
      <c r="A93" s="165" t="s">
        <v>21</v>
      </c>
      <c r="B93" s="0" t="s">
        <v>705</v>
      </c>
      <c r="D93" s="269" t="s">
        <v>450</v>
      </c>
      <c r="F93" s="270"/>
      <c r="G93" s="271" t="n">
        <v>1.81556858874032</v>
      </c>
      <c r="H93" s="271" t="n">
        <v>2.11457542593032</v>
      </c>
      <c r="I93" s="271" t="n">
        <v>2.38748090606169</v>
      </c>
      <c r="J93" s="271" t="n">
        <v>2.6594877579981</v>
      </c>
      <c r="K93" s="271" t="n">
        <v>3.15859955298652</v>
      </c>
      <c r="L93" s="271" t="n">
        <v>5.14404227464917</v>
      </c>
      <c r="M93" s="271" t="n">
        <v>7.65997913532434</v>
      </c>
      <c r="N93" s="271" t="n">
        <v>23.1720738259948</v>
      </c>
      <c r="O93" s="272"/>
      <c r="P93" s="272"/>
      <c r="Q93" s="272"/>
      <c r="R93" s="272"/>
    </row>
    <row r="94" customFormat="false" ht="13.8" hidden="false" customHeight="false" outlineLevel="0" collapsed="false">
      <c r="A94" s="165" t="s">
        <v>21</v>
      </c>
      <c r="B94" s="0" t="s">
        <v>705</v>
      </c>
      <c r="D94" s="269" t="s">
        <v>707</v>
      </c>
      <c r="F94" s="270"/>
      <c r="G94" s="271" t="n">
        <v>2.04922676262275</v>
      </c>
      <c r="H94" s="271" t="n">
        <v>2.38356437378594</v>
      </c>
      <c r="I94" s="271" t="n">
        <v>2.68932853141264</v>
      </c>
      <c r="J94" s="271" t="n">
        <v>2.98994684462325</v>
      </c>
      <c r="K94" s="271" t="n">
        <v>3.51767394702138</v>
      </c>
      <c r="L94" s="271" t="n">
        <v>5.59306787226957</v>
      </c>
      <c r="M94" s="271" t="n">
        <v>8.29911051204173</v>
      </c>
      <c r="N94" s="271" t="n">
        <v>23.9780173109044</v>
      </c>
      <c r="O94" s="272"/>
      <c r="P94" s="272"/>
      <c r="Q94" s="272"/>
      <c r="R94" s="272"/>
    </row>
    <row r="95" customFormat="false" ht="13.8" hidden="false" customHeight="false" outlineLevel="0" collapsed="false">
      <c r="A95" s="165" t="s">
        <v>21</v>
      </c>
      <c r="B95" s="0" t="s">
        <v>705</v>
      </c>
      <c r="D95" s="165" t="s">
        <v>708</v>
      </c>
      <c r="F95" s="270"/>
      <c r="G95" s="271" t="n">
        <v>2.62850577467729</v>
      </c>
      <c r="H95" s="271" t="n">
        <v>3.04612591707102</v>
      </c>
      <c r="I95" s="271" t="n">
        <v>3.425271712954</v>
      </c>
      <c r="J95" s="271" t="n">
        <v>3.8041449460337</v>
      </c>
      <c r="K95" s="271" t="n">
        <v>4.46511247542068</v>
      </c>
      <c r="L95" s="271" t="n">
        <v>7.0991206564005</v>
      </c>
      <c r="M95" s="271" t="n">
        <v>10.9398852320419</v>
      </c>
      <c r="N95" s="271" t="n">
        <v>28.0739966718265</v>
      </c>
      <c r="O95" s="272"/>
      <c r="P95" s="272"/>
      <c r="Q95" s="272"/>
      <c r="R95" s="272"/>
    </row>
    <row r="96" customFormat="false" ht="13.8" hidden="false" customHeight="false" outlineLevel="0" collapsed="false">
      <c r="A96" s="165" t="s">
        <v>21</v>
      </c>
      <c r="B96" s="0" t="s">
        <v>705</v>
      </c>
      <c r="D96" s="165" t="s">
        <v>709</v>
      </c>
      <c r="F96" s="270"/>
      <c r="G96" s="271" t="n">
        <v>3.27654448032802</v>
      </c>
      <c r="H96" s="271" t="n">
        <v>3.79839477133334</v>
      </c>
      <c r="I96" s="271" t="n">
        <v>4.27484883999197</v>
      </c>
      <c r="J96" s="271" t="n">
        <v>4.75021030702132</v>
      </c>
      <c r="K96" s="271" t="n">
        <v>5.59365655788487</v>
      </c>
      <c r="L96" s="271" t="n">
        <v>8.94035811054225</v>
      </c>
      <c r="M96" s="271" t="n">
        <v>13.4989904268235</v>
      </c>
      <c r="N96" s="271" t="n">
        <v>33.3522593694877</v>
      </c>
      <c r="O96" s="272"/>
      <c r="P96" s="272"/>
      <c r="Q96" s="272"/>
      <c r="R96" s="272"/>
    </row>
    <row r="97" customFormat="false" ht="13.8" hidden="false" customHeight="false" outlineLevel="0" collapsed="false">
      <c r="A97" s="165" t="s">
        <v>21</v>
      </c>
      <c r="B97" s="0" t="s">
        <v>705</v>
      </c>
      <c r="D97" s="165" t="s">
        <v>710</v>
      </c>
      <c r="F97" s="270"/>
      <c r="G97" s="271" t="n">
        <v>4.08914587730655</v>
      </c>
      <c r="H97" s="271" t="n">
        <v>4.7568211043998</v>
      </c>
      <c r="I97" s="271" t="n">
        <v>5.36723404035473</v>
      </c>
      <c r="J97" s="271" t="n">
        <v>5.96723990341212</v>
      </c>
      <c r="K97" s="271" t="n">
        <v>7.02132873010164</v>
      </c>
      <c r="L97" s="271" t="n">
        <v>11.169058902866</v>
      </c>
      <c r="M97" s="271" t="n">
        <v>16.5753365177873</v>
      </c>
      <c r="N97" s="271" t="n">
        <v>39.2922339555623</v>
      </c>
      <c r="O97" s="272"/>
      <c r="P97" s="272"/>
      <c r="Q97" s="272"/>
      <c r="R97" s="272"/>
    </row>
    <row r="98" customFormat="false" ht="13.8" hidden="false" customHeight="false" outlineLevel="0" collapsed="false">
      <c r="A98" s="165" t="s">
        <v>21</v>
      </c>
      <c r="B98" s="0" t="s">
        <v>705</v>
      </c>
      <c r="D98" s="273" t="s">
        <v>711</v>
      </c>
      <c r="E98" s="274"/>
      <c r="F98" s="270"/>
      <c r="G98" s="271" t="n">
        <v>8.40702943885639</v>
      </c>
      <c r="H98" s="271" t="n">
        <v>9.30930348521815</v>
      </c>
      <c r="I98" s="271" t="n">
        <v>10.1680489926378</v>
      </c>
      <c r="J98" s="271" t="n">
        <v>11.0021243754925</v>
      </c>
      <c r="K98" s="271" t="n">
        <v>12.2564294645514</v>
      </c>
      <c r="L98" s="271" t="n">
        <v>17.7023244014217</v>
      </c>
      <c r="M98" s="271" t="n">
        <v>25.6876833571528</v>
      </c>
      <c r="N98" s="271" t="n">
        <v>49.1486715386171</v>
      </c>
      <c r="O98" s="272"/>
      <c r="P98" s="272"/>
      <c r="Q98" s="272"/>
      <c r="R98" s="272"/>
    </row>
    <row r="99" customFormat="false" ht="13.8" hidden="false" customHeight="false" outlineLevel="0" collapsed="false">
      <c r="A99" s="165" t="s">
        <v>21</v>
      </c>
      <c r="B99" s="0" t="s">
        <v>705</v>
      </c>
      <c r="D99" s="273" t="s">
        <v>712</v>
      </c>
      <c r="E99" s="274"/>
      <c r="F99" s="270"/>
      <c r="G99" s="271" t="n">
        <v>10.2446034567693</v>
      </c>
      <c r="H99" s="271" t="n">
        <v>11.436268741111</v>
      </c>
      <c r="I99" s="271" t="n">
        <v>12.5671399562783</v>
      </c>
      <c r="J99" s="271" t="n">
        <v>13.6717905414512</v>
      </c>
      <c r="K99" s="271" t="n">
        <v>15.3938641093498</v>
      </c>
      <c r="L99" s="271" t="n">
        <v>22.5021161324783</v>
      </c>
      <c r="M99" s="271" t="n">
        <v>32.8762952033743</v>
      </c>
      <c r="N99" s="271" t="n">
        <v>62.4021255894182</v>
      </c>
      <c r="O99" s="272"/>
      <c r="P99" s="272"/>
      <c r="Q99" s="272"/>
      <c r="R99" s="272"/>
    </row>
    <row r="100" customFormat="false" ht="13.8" hidden="false" customHeight="false" outlineLevel="0" collapsed="false">
      <c r="A100" s="165" t="s">
        <v>21</v>
      </c>
      <c r="B100" s="0" t="s">
        <v>705</v>
      </c>
      <c r="D100" s="273" t="s">
        <v>713</v>
      </c>
      <c r="E100" s="274"/>
      <c r="F100" s="270"/>
      <c r="G100" s="271" t="n">
        <v>11.5962275119601</v>
      </c>
      <c r="H100" s="271" t="n">
        <v>12.9841785664264</v>
      </c>
      <c r="I100" s="271" t="n">
        <v>14.3019415794044</v>
      </c>
      <c r="J100" s="271" t="n">
        <v>15.5884167073409</v>
      </c>
      <c r="K100" s="271" t="n">
        <v>17.5783091516655</v>
      </c>
      <c r="L100" s="271" t="n">
        <v>25.8514991222334</v>
      </c>
      <c r="M100" s="271" t="n">
        <v>38.2733528262422</v>
      </c>
      <c r="N100" s="271" t="n">
        <v>72.5782674149055</v>
      </c>
      <c r="O100" s="272"/>
      <c r="P100" s="272"/>
      <c r="Q100" s="272"/>
      <c r="R100" s="272"/>
    </row>
    <row r="101" customFormat="false" ht="13.8" hidden="false" customHeight="false" outlineLevel="0" collapsed="false">
      <c r="A101" s="165" t="s">
        <v>21</v>
      </c>
      <c r="B101" s="0" t="s">
        <v>705</v>
      </c>
      <c r="D101" s="165" t="s">
        <v>448</v>
      </c>
      <c r="F101" s="270"/>
      <c r="G101" s="271" t="n">
        <v>9.14128673643812</v>
      </c>
      <c r="H101" s="271" t="n">
        <v>10.1629607834313</v>
      </c>
      <c r="I101" s="271" t="n">
        <v>11.12675561915</v>
      </c>
      <c r="J101" s="271" t="n">
        <v>12.0741807893117</v>
      </c>
      <c r="K101" s="271" t="n">
        <v>13.5828078141887</v>
      </c>
      <c r="L101" s="271" t="n">
        <v>19.9233909078127</v>
      </c>
      <c r="M101" s="271" t="n">
        <v>28.9191427536438</v>
      </c>
      <c r="N101" s="271" t="n">
        <v>56.0418512773783</v>
      </c>
      <c r="O101" s="272"/>
      <c r="P101" s="272"/>
      <c r="Q101" s="272"/>
      <c r="R101" s="272"/>
    </row>
    <row r="102" customFormat="false" ht="13.8" hidden="false" customHeight="false" outlineLevel="0" collapsed="false">
      <c r="A102" s="165" t="s">
        <v>21</v>
      </c>
      <c r="B102" s="0" t="s">
        <v>705</v>
      </c>
      <c r="D102" s="165" t="s">
        <v>714</v>
      </c>
      <c r="F102" s="270"/>
      <c r="G102" s="271" t="n">
        <v>11.013027258149</v>
      </c>
      <c r="H102" s="271" t="n">
        <v>12.3259906822221</v>
      </c>
      <c r="I102" s="271" t="n">
        <v>13.5638093647883</v>
      </c>
      <c r="J102" s="271" t="n">
        <v>14.7837078763681</v>
      </c>
      <c r="K102" s="271" t="n">
        <v>16.7620015191846</v>
      </c>
      <c r="L102" s="271" t="n">
        <v>24.7744323945663</v>
      </c>
      <c r="M102" s="271" t="n">
        <v>36.1675459815117</v>
      </c>
      <c r="N102" s="271" t="n">
        <v>69.3700445552375</v>
      </c>
      <c r="O102" s="272"/>
      <c r="P102" s="272"/>
      <c r="Q102" s="272"/>
      <c r="R102" s="272"/>
    </row>
    <row r="103" customFormat="false" ht="13.8" hidden="false" customHeight="false" outlineLevel="0" collapsed="false">
      <c r="A103" s="165" t="s">
        <v>21</v>
      </c>
      <c r="B103" s="0" t="s">
        <v>705</v>
      </c>
      <c r="D103" s="165" t="s">
        <v>715</v>
      </c>
      <c r="F103" s="270"/>
      <c r="G103" s="271" t="n">
        <v>12.7441028663515</v>
      </c>
      <c r="H103" s="271" t="n">
        <v>14.3304135877905</v>
      </c>
      <c r="I103" s="271" t="n">
        <v>15.8252637195729</v>
      </c>
      <c r="J103" s="271" t="n">
        <v>17.2963063864959</v>
      </c>
      <c r="K103" s="271" t="n">
        <v>19.6977290058449</v>
      </c>
      <c r="L103" s="271" t="n">
        <v>29.5057147371014</v>
      </c>
      <c r="M103" s="271" t="n">
        <v>43.4224783235551</v>
      </c>
      <c r="N103" s="271" t="n">
        <v>83.9490132240384</v>
      </c>
      <c r="O103" s="272"/>
      <c r="P103" s="272"/>
      <c r="Q103" s="272"/>
      <c r="R103" s="272"/>
    </row>
    <row r="104" customFormat="false" ht="13.8" hidden="false" customHeight="false" outlineLevel="0" collapsed="false">
      <c r="A104" s="165" t="s">
        <v>21</v>
      </c>
      <c r="B104" s="0" t="s">
        <v>705</v>
      </c>
      <c r="D104" s="273" t="s">
        <v>716</v>
      </c>
      <c r="E104" s="274"/>
      <c r="F104" s="270"/>
      <c r="G104" s="271" t="n">
        <v>10.779383528603</v>
      </c>
      <c r="H104" s="271" t="n">
        <v>12.0358855409109</v>
      </c>
      <c r="I104" s="271" t="n">
        <v>13.2176855731341</v>
      </c>
      <c r="J104" s="271" t="n">
        <v>14.3871691825871</v>
      </c>
      <c r="K104" s="271" t="n">
        <v>16.2588306414021</v>
      </c>
      <c r="L104" s="271" t="n">
        <v>23.815709870694</v>
      </c>
      <c r="M104" s="271" t="n">
        <v>35.0529613943522</v>
      </c>
      <c r="N104" s="271" t="n">
        <v>66.5737318789566</v>
      </c>
      <c r="O104" s="272"/>
      <c r="P104" s="272"/>
      <c r="Q104" s="272"/>
      <c r="R104" s="272"/>
    </row>
    <row r="105" customFormat="false" ht="13.8" hidden="false" customHeight="false" outlineLevel="0" collapsed="false">
      <c r="A105" s="165" t="s">
        <v>21</v>
      </c>
      <c r="B105" s="0" t="s">
        <v>705</v>
      </c>
      <c r="D105" s="273" t="s">
        <v>717</v>
      </c>
      <c r="E105" s="274"/>
      <c r="F105" s="270"/>
      <c r="G105" s="271" t="n">
        <v>13.2649962521667</v>
      </c>
      <c r="H105" s="271" t="n">
        <v>14.8930748478638</v>
      </c>
      <c r="I105" s="271" t="n">
        <v>16.5104432702172</v>
      </c>
      <c r="J105" s="271" t="n">
        <v>18.0249455127357</v>
      </c>
      <c r="K105" s="271" t="n">
        <v>20.5248093686646</v>
      </c>
      <c r="L105" s="271" t="n">
        <v>30.6725155281857</v>
      </c>
      <c r="M105" s="271" t="n">
        <v>45.295874528335</v>
      </c>
      <c r="N105" s="271" t="n">
        <v>87.0905842926593</v>
      </c>
      <c r="O105" s="272"/>
      <c r="P105" s="272"/>
      <c r="Q105" s="272"/>
      <c r="R105" s="272"/>
    </row>
    <row r="106" customFormat="false" ht="13.8" hidden="false" customHeight="false" outlineLevel="0" collapsed="false">
      <c r="A106" s="165" t="s">
        <v>21</v>
      </c>
      <c r="B106" s="0" t="s">
        <v>705</v>
      </c>
      <c r="D106" s="273" t="s">
        <v>716</v>
      </c>
      <c r="E106" s="274"/>
      <c r="F106" s="270"/>
      <c r="G106" s="271" t="n">
        <v>15.3469403586721</v>
      </c>
      <c r="H106" s="271" t="n">
        <v>17.3624666764505</v>
      </c>
      <c r="I106" s="271" t="n">
        <v>19.172136450639</v>
      </c>
      <c r="J106" s="271" t="n">
        <v>21.0451639605169</v>
      </c>
      <c r="K106" s="271" t="n">
        <v>23.9873625383208</v>
      </c>
      <c r="L106" s="271" t="n">
        <v>35.8851807752849</v>
      </c>
      <c r="M106" s="271" t="n">
        <v>53.3181717555915</v>
      </c>
      <c r="N106" s="271" t="n">
        <v>101.883276927394</v>
      </c>
      <c r="O106" s="272"/>
      <c r="P106" s="272"/>
      <c r="Q106" s="272"/>
      <c r="R106" s="272"/>
    </row>
    <row r="107" customFormat="false" ht="13.8" hidden="false" customHeight="false" outlineLevel="0" collapsed="false">
      <c r="A107" s="165" t="s">
        <v>21</v>
      </c>
      <c r="B107" s="0" t="s">
        <v>705</v>
      </c>
      <c r="D107" s="165" t="s">
        <v>718</v>
      </c>
      <c r="F107" s="270"/>
      <c r="G107" s="271" t="n">
        <v>11.5136408261847</v>
      </c>
      <c r="H107" s="271" t="n">
        <v>12.889542839124</v>
      </c>
      <c r="I107" s="271" t="n">
        <v>14.1763921996463</v>
      </c>
      <c r="J107" s="271" t="n">
        <v>15.4592255964063</v>
      </c>
      <c r="K107" s="271" t="n">
        <v>17.5852089910394</v>
      </c>
      <c r="L107" s="271" t="n">
        <v>26.0367763770851</v>
      </c>
      <c r="M107" s="271" t="n">
        <v>38.2844207908431</v>
      </c>
      <c r="N107" s="271" t="n">
        <v>73.4669116177178</v>
      </c>
      <c r="O107" s="272"/>
      <c r="P107" s="272"/>
      <c r="Q107" s="272"/>
      <c r="R107" s="272"/>
    </row>
    <row r="108" customFormat="false" ht="13.8" hidden="false" customHeight="false" outlineLevel="0" collapsed="false">
      <c r="A108" s="165" t="s">
        <v>21</v>
      </c>
      <c r="B108" s="0" t="s">
        <v>705</v>
      </c>
      <c r="D108" s="165" t="s">
        <v>719</v>
      </c>
      <c r="F108" s="270"/>
      <c r="G108" s="271" t="n">
        <v>14.0334200535464</v>
      </c>
      <c r="H108" s="271" t="n">
        <v>15.7827967889748</v>
      </c>
      <c r="I108" s="271" t="n">
        <v>17.5071126787271</v>
      </c>
      <c r="J108" s="271" t="n">
        <v>19.1368628476526</v>
      </c>
      <c r="K108" s="271" t="n">
        <v>21.8929467784995</v>
      </c>
      <c r="L108" s="271" t="n">
        <v>32.9448317902737</v>
      </c>
      <c r="M108" s="271" t="n">
        <v>48.5871253064724</v>
      </c>
      <c r="N108" s="271" t="n">
        <v>94.0585032584786</v>
      </c>
      <c r="O108" s="272"/>
      <c r="P108" s="272"/>
      <c r="Q108" s="272"/>
      <c r="R108" s="272"/>
    </row>
    <row r="109" customFormat="false" ht="13.8" hidden="false" customHeight="false" outlineLevel="0" collapsed="false">
      <c r="A109" s="165" t="s">
        <v>21</v>
      </c>
      <c r="B109" s="0" t="s">
        <v>705</v>
      </c>
      <c r="D109" s="165" t="s">
        <v>720</v>
      </c>
      <c r="F109" s="270"/>
      <c r="G109" s="271" t="n">
        <v>16.4948157130635</v>
      </c>
      <c r="H109" s="271" t="n">
        <v>18.7087016978146</v>
      </c>
      <c r="I109" s="271" t="n">
        <v>20.6954585908075</v>
      </c>
      <c r="J109" s="271" t="n">
        <v>22.7530536396719</v>
      </c>
      <c r="K109" s="271" t="n">
        <v>26.1067823925003</v>
      </c>
      <c r="L109" s="271" t="n">
        <v>39.5393963901529</v>
      </c>
      <c r="M109" s="271" t="n">
        <v>58.4672972529044</v>
      </c>
      <c r="N109" s="271" t="n">
        <v>113.254022736527</v>
      </c>
      <c r="O109" s="272"/>
      <c r="P109" s="272"/>
      <c r="Q109" s="272"/>
      <c r="R109" s="272"/>
    </row>
    <row r="110" customFormat="false" ht="13.8" hidden="false" customHeight="false" outlineLevel="0" collapsed="false">
      <c r="B110" s="0" t="s">
        <v>705</v>
      </c>
      <c r="D110" s="165" t="s">
        <v>721</v>
      </c>
      <c r="F110" s="270"/>
      <c r="G110" s="272"/>
      <c r="H110" s="272"/>
      <c r="I110" s="272"/>
      <c r="J110" s="272"/>
      <c r="K110" s="272"/>
      <c r="L110" s="272"/>
      <c r="M110" s="272"/>
      <c r="N110" s="272"/>
      <c r="O110" s="275" t="n">
        <v>128.653232875355</v>
      </c>
      <c r="P110" s="275" t="n">
        <v>383.844324094481</v>
      </c>
      <c r="Q110" s="275" t="n">
        <v>517.882146686592</v>
      </c>
      <c r="R110" s="275" t="n">
        <v>623.266259714536</v>
      </c>
      <c r="S110" s="264" t="n">
        <v>776.446298749716</v>
      </c>
    </row>
    <row r="111" customFormat="false" ht="13.8" hidden="false" customHeight="false" outlineLevel="0" collapsed="false">
      <c r="B111" s="0" t="s">
        <v>705</v>
      </c>
      <c r="D111" s="165" t="s">
        <v>722</v>
      </c>
      <c r="F111" s="270"/>
      <c r="G111" s="272"/>
      <c r="H111" s="272"/>
      <c r="I111" s="272"/>
      <c r="J111" s="272"/>
      <c r="K111" s="272"/>
      <c r="L111" s="272"/>
      <c r="M111" s="272"/>
      <c r="N111" s="272"/>
      <c r="O111" s="275" t="n">
        <v>171.922257385003</v>
      </c>
      <c r="P111" s="275" t="n">
        <v>498.651469126749</v>
      </c>
      <c r="Q111" s="275" t="n">
        <v>670.189112960555</v>
      </c>
      <c r="R111" s="275" t="n">
        <v>810.957672698611</v>
      </c>
      <c r="S111" s="264" t="n">
        <v>987.11067914678</v>
      </c>
    </row>
    <row r="112" customFormat="false" ht="13.8" hidden="false" customHeight="false" outlineLevel="0" collapsed="false">
      <c r="B112" s="0" t="s">
        <v>705</v>
      </c>
      <c r="D112" s="276" t="s">
        <v>723</v>
      </c>
      <c r="E112" s="277"/>
      <c r="F112" s="274"/>
      <c r="G112" s="278" t="n">
        <v>1.81556858874032</v>
      </c>
      <c r="H112" s="278" t="n">
        <v>2.11457542593032</v>
      </c>
      <c r="I112" s="278" t="n">
        <v>2.38748090606169</v>
      </c>
      <c r="J112" s="278" t="n">
        <v>2.6594877579981</v>
      </c>
      <c r="K112" s="278" t="n">
        <v>3.15859955298652</v>
      </c>
      <c r="L112" s="278" t="n">
        <v>5.14404227464917</v>
      </c>
      <c r="M112" s="278" t="n">
        <v>7.65997913532434</v>
      </c>
      <c r="N112" s="278" t="n">
        <v>23.1720738259948</v>
      </c>
      <c r="O112" s="279"/>
      <c r="P112" s="279"/>
      <c r="Q112" s="279"/>
      <c r="R112" s="279"/>
    </row>
    <row r="113" customFormat="false" ht="25" hidden="false" customHeight="false" outlineLevel="0" collapsed="false">
      <c r="A113" s="280" t="s">
        <v>724</v>
      </c>
      <c r="B113" s="0" t="s">
        <v>705</v>
      </c>
      <c r="D113" s="165" t="s">
        <v>725</v>
      </c>
      <c r="E113" s="277" t="s">
        <v>37</v>
      </c>
      <c r="F113" s="274"/>
      <c r="G113" s="281" t="n">
        <v>9307.64793896438</v>
      </c>
      <c r="H113" s="281" t="n">
        <v>7576.88695857844</v>
      </c>
      <c r="I113" s="281" t="n">
        <v>8384.57541609188</v>
      </c>
      <c r="J113" s="281" t="n">
        <v>8826.88099996828</v>
      </c>
      <c r="K113" s="281" t="n">
        <v>9788.41487796047</v>
      </c>
      <c r="L113" s="281" t="n">
        <v>12019.1734749023</v>
      </c>
      <c r="M113" s="281" t="n">
        <v>15499.9261132341</v>
      </c>
      <c r="N113" s="281" t="n">
        <v>21807.5883528628</v>
      </c>
      <c r="O113" s="279"/>
      <c r="P113" s="279"/>
      <c r="Q113" s="279"/>
      <c r="R113" s="279"/>
    </row>
    <row r="114" customFormat="false" ht="13.8" hidden="false" customHeight="false" outlineLevel="0" collapsed="false">
      <c r="A114" s="282"/>
      <c r="B114" s="0" t="s">
        <v>705</v>
      </c>
      <c r="D114" s="165" t="s">
        <v>725</v>
      </c>
      <c r="E114" s="277" t="s">
        <v>38</v>
      </c>
      <c r="F114" s="274"/>
      <c r="G114" s="281" t="n">
        <v>7576.88695857844</v>
      </c>
      <c r="H114" s="281" t="n">
        <v>10307.6431720763</v>
      </c>
      <c r="I114" s="281" t="n">
        <v>8384.57541609188</v>
      </c>
      <c r="J114" s="281" t="n">
        <v>8826.88099996828</v>
      </c>
      <c r="K114" s="281" t="n">
        <v>9788.41487796047</v>
      </c>
      <c r="L114" s="281" t="n">
        <v>11423.0224705472</v>
      </c>
      <c r="M114" s="281" t="n">
        <v>14019.1639411261</v>
      </c>
      <c r="N114" s="281" t="n">
        <v>17942.2221633342</v>
      </c>
      <c r="O114" s="279"/>
      <c r="P114" s="279"/>
      <c r="Q114" s="279"/>
      <c r="R114" s="279"/>
    </row>
    <row r="115" customFormat="false" ht="13.8" hidden="false" customHeight="false" outlineLevel="0" collapsed="false">
      <c r="A115" s="282"/>
      <c r="B115" s="0" t="s">
        <v>705</v>
      </c>
      <c r="D115" s="165" t="s">
        <v>725</v>
      </c>
      <c r="E115" s="277" t="s">
        <v>39</v>
      </c>
      <c r="F115" s="274"/>
      <c r="G115" s="281" t="n">
        <v>8384.57541609188</v>
      </c>
      <c r="H115" s="281" t="n">
        <v>8384.57541609188</v>
      </c>
      <c r="I115" s="281" t="n">
        <v>11423.0224705472</v>
      </c>
      <c r="J115" s="281" t="n">
        <v>9307.64793896438</v>
      </c>
      <c r="K115" s="281" t="n">
        <v>9788.41487796047</v>
      </c>
      <c r="L115" s="281" t="n">
        <v>11423.0224705472</v>
      </c>
      <c r="M115" s="281" t="n">
        <v>14019.1639411261</v>
      </c>
      <c r="N115" s="281" t="n">
        <v>17942.2221633342</v>
      </c>
      <c r="O115" s="279"/>
      <c r="P115" s="279"/>
      <c r="Q115" s="279"/>
      <c r="R115" s="279"/>
    </row>
    <row r="116" customFormat="false" ht="13.8" hidden="false" customHeight="false" outlineLevel="0" collapsed="false">
      <c r="A116" s="282"/>
      <c r="B116" s="0" t="s">
        <v>705</v>
      </c>
      <c r="D116" s="165" t="s">
        <v>725</v>
      </c>
      <c r="E116" s="277" t="s">
        <v>40</v>
      </c>
      <c r="F116" s="274"/>
      <c r="G116" s="281" t="n">
        <v>8826.88099996828</v>
      </c>
      <c r="H116" s="281" t="n">
        <v>8826.88099996828</v>
      </c>
      <c r="I116" s="281" t="n">
        <v>9307.64793896438</v>
      </c>
      <c r="J116" s="281" t="n">
        <v>12653.7858343772</v>
      </c>
      <c r="K116" s="281" t="n">
        <v>10307.6431720763</v>
      </c>
      <c r="L116" s="281" t="n">
        <v>12019.1734749023</v>
      </c>
      <c r="M116" s="281" t="n">
        <v>14749.9296884002</v>
      </c>
      <c r="N116" s="281" t="n">
        <v>17942.2221633342</v>
      </c>
      <c r="O116" s="279"/>
      <c r="P116" s="279"/>
      <c r="Q116" s="279"/>
      <c r="R116" s="279"/>
    </row>
    <row r="117" customFormat="false" ht="13.8" hidden="false" customHeight="false" outlineLevel="0" collapsed="false">
      <c r="A117" s="282"/>
      <c r="B117" s="0" t="s">
        <v>705</v>
      </c>
      <c r="D117" s="165" t="s">
        <v>725</v>
      </c>
      <c r="E117" s="277" t="s">
        <v>41</v>
      </c>
      <c r="F117" s="274"/>
      <c r="G117" s="281" t="n">
        <v>9788.41487796047</v>
      </c>
      <c r="H117" s="281" t="n">
        <v>9788.41487796047</v>
      </c>
      <c r="I117" s="281" t="n">
        <v>9788.41487796047</v>
      </c>
      <c r="J117" s="281" t="n">
        <v>10307.6431720763</v>
      </c>
      <c r="K117" s="281" t="n">
        <v>14019.1639411261</v>
      </c>
      <c r="L117" s="281" t="n">
        <v>12019.1734749023</v>
      </c>
      <c r="M117" s="281" t="n">
        <v>14749.9296884002</v>
      </c>
      <c r="N117" s="281" t="n">
        <v>17942.2221633342</v>
      </c>
      <c r="O117" s="279"/>
      <c r="P117" s="279"/>
      <c r="Q117" s="279"/>
      <c r="R117" s="279"/>
    </row>
    <row r="118" customFormat="false" ht="13.8" hidden="false" customHeight="false" outlineLevel="0" collapsed="false">
      <c r="A118" s="282"/>
      <c r="B118" s="0" t="s">
        <v>705</v>
      </c>
      <c r="D118" s="165" t="s">
        <v>725</v>
      </c>
      <c r="E118" s="283" t="s">
        <v>42</v>
      </c>
      <c r="F118" s="274"/>
      <c r="G118" s="281" t="n">
        <v>12019.1734749023</v>
      </c>
      <c r="H118" s="281" t="n">
        <v>11423.0224705472</v>
      </c>
      <c r="I118" s="281" t="n">
        <v>11423.0224705472</v>
      </c>
      <c r="J118" s="281" t="n">
        <v>12019.1734749023</v>
      </c>
      <c r="K118" s="281" t="n">
        <v>12019.1734749023</v>
      </c>
      <c r="L118" s="281" t="n">
        <v>17076.8416731413</v>
      </c>
      <c r="M118" s="281" t="n">
        <v>15499.9261132341</v>
      </c>
      <c r="N118" s="281" t="n">
        <v>18826.833331087</v>
      </c>
      <c r="O118" s="279"/>
      <c r="P118" s="279"/>
      <c r="Q118" s="279"/>
      <c r="R118" s="279"/>
    </row>
    <row r="119" customFormat="false" ht="13.8" hidden="false" customHeight="false" outlineLevel="0" collapsed="false">
      <c r="A119" s="282"/>
      <c r="B119" s="0" t="s">
        <v>705</v>
      </c>
      <c r="D119" s="165" t="s">
        <v>725</v>
      </c>
      <c r="E119" s="277" t="s">
        <v>43</v>
      </c>
      <c r="F119" s="274"/>
      <c r="G119" s="281" t="n">
        <v>15499.9261132341</v>
      </c>
      <c r="H119" s="281" t="n">
        <v>14019.1639411261</v>
      </c>
      <c r="I119" s="281" t="n">
        <v>14019.1639411261</v>
      </c>
      <c r="J119" s="281" t="n">
        <v>14749.9296884002</v>
      </c>
      <c r="K119" s="281" t="n">
        <v>14749.9296884002</v>
      </c>
      <c r="L119" s="281" t="n">
        <v>15499.9261132341</v>
      </c>
      <c r="M119" s="281" t="n">
        <v>22884.5062962141</v>
      </c>
      <c r="N119" s="281" t="n">
        <v>20769.1317646313</v>
      </c>
      <c r="O119" s="279"/>
      <c r="P119" s="279"/>
      <c r="Q119" s="279"/>
      <c r="R119" s="279"/>
    </row>
    <row r="120" customFormat="false" ht="13.8" hidden="false" customHeight="false" outlineLevel="0" collapsed="false">
      <c r="A120" s="282"/>
      <c r="B120" s="0" t="s">
        <v>705</v>
      </c>
      <c r="D120" s="165" t="s">
        <v>725</v>
      </c>
      <c r="E120" s="277" t="s">
        <v>44</v>
      </c>
      <c r="F120" s="274"/>
      <c r="G120" s="281" t="n">
        <v>21807.5883528628</v>
      </c>
      <c r="H120" s="281" t="n">
        <v>17942.2221633342</v>
      </c>
      <c r="I120" s="281" t="n">
        <v>17942.2221633342</v>
      </c>
      <c r="J120" s="281" t="n">
        <v>17942.2221633342</v>
      </c>
      <c r="K120" s="281" t="n">
        <v>17942.2221633342</v>
      </c>
      <c r="L120" s="281" t="n">
        <v>18826.833331087</v>
      </c>
      <c r="M120" s="281" t="n">
        <v>20769.1317646313</v>
      </c>
      <c r="N120" s="281" t="n">
        <v>30672.9307079508</v>
      </c>
      <c r="O120" s="279"/>
      <c r="P120" s="279"/>
      <c r="Q120" s="279"/>
      <c r="R120" s="279"/>
    </row>
    <row r="121" customFormat="false" ht="13.8" hidden="false" customHeight="false" outlineLevel="0" collapsed="false">
      <c r="A121" s="282"/>
      <c r="B121" s="0" t="s">
        <v>705</v>
      </c>
      <c r="D121" s="165" t="s">
        <v>725</v>
      </c>
      <c r="E121" s="277" t="s">
        <v>62</v>
      </c>
      <c r="F121" s="270"/>
      <c r="G121" s="284"/>
      <c r="H121" s="284"/>
      <c r="I121" s="284"/>
      <c r="J121" s="284"/>
      <c r="K121" s="284"/>
      <c r="L121" s="284"/>
      <c r="M121" s="284"/>
      <c r="N121" s="284"/>
      <c r="O121" s="279"/>
      <c r="P121" s="279"/>
      <c r="Q121" s="279"/>
      <c r="R121" s="279"/>
    </row>
    <row r="122" customFormat="false" ht="13.8" hidden="false" customHeight="false" outlineLevel="0" collapsed="false">
      <c r="A122" s="282"/>
      <c r="B122" s="0" t="s">
        <v>705</v>
      </c>
      <c r="D122" s="165" t="s">
        <v>725</v>
      </c>
      <c r="E122" s="277" t="s">
        <v>63</v>
      </c>
      <c r="F122" s="270"/>
      <c r="G122" s="284"/>
      <c r="H122" s="284"/>
      <c r="I122" s="284"/>
      <c r="J122" s="284"/>
      <c r="K122" s="284"/>
      <c r="L122" s="284"/>
      <c r="M122" s="284"/>
      <c r="N122" s="284"/>
      <c r="O122" s="279"/>
      <c r="P122" s="279"/>
      <c r="Q122" s="279"/>
      <c r="R122" s="279"/>
    </row>
    <row r="123" customFormat="false" ht="13.8" hidden="false" customHeight="false" outlineLevel="0" collapsed="false">
      <c r="A123" s="282"/>
      <c r="B123" s="0" t="s">
        <v>705</v>
      </c>
      <c r="D123" s="165" t="s">
        <v>725</v>
      </c>
      <c r="E123" s="277" t="s">
        <v>64</v>
      </c>
      <c r="F123" s="270"/>
      <c r="G123" s="284"/>
      <c r="H123" s="284"/>
      <c r="I123" s="284"/>
      <c r="J123" s="284"/>
      <c r="K123" s="284"/>
      <c r="L123" s="284"/>
      <c r="M123" s="284"/>
      <c r="N123" s="284"/>
      <c r="O123" s="279"/>
      <c r="P123" s="279"/>
      <c r="Q123" s="279"/>
      <c r="R123" s="279"/>
    </row>
    <row r="124" customFormat="false" ht="13.8" hidden="false" customHeight="false" outlineLevel="0" collapsed="false">
      <c r="A124" s="282"/>
      <c r="B124" s="0" t="s">
        <v>705</v>
      </c>
      <c r="D124" s="165" t="s">
        <v>725</v>
      </c>
      <c r="E124" s="277" t="s">
        <v>65</v>
      </c>
      <c r="F124" s="270"/>
      <c r="G124" s="284"/>
      <c r="H124" s="284"/>
      <c r="I124" s="284"/>
      <c r="J124" s="284"/>
      <c r="K124" s="284"/>
      <c r="L124" s="284"/>
      <c r="M124" s="284"/>
      <c r="N124" s="284"/>
      <c r="O124" s="279"/>
      <c r="P124" s="279"/>
      <c r="Q124" s="279"/>
      <c r="R124" s="279"/>
    </row>
    <row r="125" customFormat="false" ht="13.8" hidden="false" customHeight="false" outlineLevel="0" collapsed="false">
      <c r="D125" s="165"/>
      <c r="O125" s="143"/>
      <c r="P125" s="143"/>
      <c r="Q125" s="143"/>
      <c r="R125" s="143"/>
    </row>
    <row r="126" customFormat="false" ht="13.8" hidden="false" customHeight="false" outlineLevel="0" collapsed="false">
      <c r="H126" s="0" t="str">
        <f aca="false">'Exploratory cost estimate'!A49</f>
        <v>Transformer MVA:  </v>
      </c>
      <c r="J126" s="285" t="n">
        <f aca="false">'Exploratory cost estimate'!B49</f>
        <v>400</v>
      </c>
    </row>
    <row r="127" customFormat="false" ht="13.8" hidden="false" customHeight="false" outlineLevel="0" collapsed="false">
      <c r="A127" s="286" t="s">
        <v>726</v>
      </c>
      <c r="G127" s="287"/>
      <c r="J127" s="288" t="n">
        <f aca="false">J118*J126</f>
        <v>4807669.38996092</v>
      </c>
    </row>
    <row r="128" customFormat="false" ht="13.8" hidden="false" customHeight="false" outlineLevel="0" collapsed="false">
      <c r="A128" s="289" t="s">
        <v>432</v>
      </c>
      <c r="G128" s="287"/>
      <c r="J128" s="290" t="n">
        <f aca="false">J112*1000000</f>
        <v>2659487.7579981</v>
      </c>
    </row>
    <row r="129" customFormat="false" ht="13.8" hidden="false" customHeight="false" outlineLevel="0" collapsed="false">
      <c r="A129" s="210" t="s">
        <v>433</v>
      </c>
      <c r="G129" s="287"/>
      <c r="J129" s="290" t="n">
        <f aca="false">L112*1000000</f>
        <v>5144042.27464917</v>
      </c>
    </row>
    <row r="130" customFormat="false" ht="13.8" hidden="false" customHeight="false" outlineLevel="0" collapsed="false">
      <c r="A130" s="210" t="s">
        <v>642</v>
      </c>
      <c r="J130" s="291" t="n">
        <f aca="false">SUM(J127:J129)</f>
        <v>12611199.4226082</v>
      </c>
    </row>
    <row r="131" customFormat="false" ht="13.8" hidden="false" customHeight="false" outlineLevel="0" collapsed="false">
      <c r="A131" s="210" t="s">
        <v>673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BC00"/>
    <pageSetUpPr fitToPage="false"/>
  </sheetPr>
  <dimension ref="A1:O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8359375" defaultRowHeight="12" customHeight="true" zeroHeight="false" outlineLevelRow="0" outlineLevelCol="0"/>
  <cols>
    <col collapsed="false" customWidth="true" hidden="false" outlineLevel="0" max="1" min="1" style="165" width="13.54"/>
    <col collapsed="false" customWidth="true" hidden="false" outlineLevel="0" max="10" min="2" style="165" width="14.54"/>
    <col collapsed="false" customWidth="true" hidden="false" outlineLevel="0" max="11" min="11" style="165" width="12.18"/>
    <col collapsed="false" customWidth="true" hidden="false" outlineLevel="0" max="12" min="12" style="165" width="12.54"/>
    <col collapsed="false" customWidth="true" hidden="false" outlineLevel="0" max="13" min="13" style="165" width="15.18"/>
    <col collapsed="false" customWidth="false" hidden="false" outlineLevel="0" max="16384" min="14" style="165" width="9.18"/>
  </cols>
  <sheetData>
    <row r="1" customFormat="false" ht="12.75" hidden="false" customHeight="false" outlineLevel="0" collapsed="false">
      <c r="A1" s="292" t="s">
        <v>420</v>
      </c>
      <c r="D1" s="293"/>
    </row>
    <row r="2" customFormat="false" ht="12.75" hidden="false" customHeight="false" outlineLevel="0" collapsed="false">
      <c r="A2" s="294" t="s">
        <v>727</v>
      </c>
      <c r="B2" s="294"/>
      <c r="C2" s="294"/>
      <c r="D2" s="294"/>
      <c r="E2" s="294"/>
      <c r="F2" s="294"/>
      <c r="G2" s="294"/>
      <c r="H2" s="294"/>
    </row>
    <row r="3" customFormat="false" ht="12.75" hidden="false" customHeight="false" outlineLevel="0" collapsed="false">
      <c r="A3" s="292"/>
      <c r="D3" s="293"/>
    </row>
    <row r="4" customFormat="false" ht="15" hidden="false" customHeight="true" outlineLevel="0" collapsed="false">
      <c r="A4" s="130" t="s">
        <v>425</v>
      </c>
      <c r="B4" s="130"/>
      <c r="D4" s="131"/>
      <c r="E4" s="293"/>
    </row>
    <row r="5" customFormat="false" ht="12.65" hidden="false" customHeight="false" outlineLevel="0" collapsed="false">
      <c r="E5" s="293"/>
      <c r="F5" s="295" t="s">
        <v>728</v>
      </c>
      <c r="G5" s="295"/>
      <c r="H5" s="295"/>
      <c r="I5" s="295"/>
      <c r="J5" s="295"/>
    </row>
    <row r="6" customFormat="false" ht="12.65" hidden="false" customHeight="false" outlineLevel="0" collapsed="false">
      <c r="A6" s="130" t="s">
        <v>14</v>
      </c>
      <c r="B6" s="130"/>
      <c r="D6" s="296" t="s">
        <v>23</v>
      </c>
      <c r="E6" s="293"/>
      <c r="F6" s="233" t="s">
        <v>729</v>
      </c>
      <c r="G6" s="233" t="s">
        <v>730</v>
      </c>
      <c r="H6" s="233" t="s">
        <v>731</v>
      </c>
      <c r="I6" s="233" t="s">
        <v>732</v>
      </c>
      <c r="J6" s="233" t="s">
        <v>733</v>
      </c>
    </row>
    <row r="7" customFormat="false" ht="12.65" hidden="false" customHeight="false" outlineLevel="0" collapsed="false">
      <c r="A7" s="130" t="s">
        <v>734</v>
      </c>
      <c r="B7" s="130"/>
      <c r="D7" s="131" t="n">
        <v>0.025</v>
      </c>
      <c r="E7" s="293"/>
      <c r="F7" s="297" t="n">
        <v>0.01</v>
      </c>
      <c r="G7" s="297" t="n">
        <v>0.04</v>
      </c>
      <c r="H7" s="297" t="n">
        <v>0.35</v>
      </c>
      <c r="I7" s="297" t="n">
        <v>0.35</v>
      </c>
      <c r="J7" s="298" t="n">
        <f aca="false">1-SUM(F7:I7)</f>
        <v>0.25</v>
      </c>
    </row>
    <row r="8" customFormat="false" ht="12.65" hidden="false" customHeight="false" outlineLevel="0" collapsed="false">
      <c r="A8" s="130" t="s">
        <v>735</v>
      </c>
      <c r="B8" s="130"/>
      <c r="C8" s="299"/>
      <c r="D8" s="300" t="n">
        <v>100000000</v>
      </c>
      <c r="E8" s="187"/>
      <c r="F8" s="301" t="n">
        <f aca="false">F$7*D8</f>
        <v>1000000</v>
      </c>
      <c r="G8" s="301" t="n">
        <f aca="false">G7*D8</f>
        <v>4000000</v>
      </c>
      <c r="H8" s="301" t="n">
        <f aca="false">H7*D8</f>
        <v>35000000</v>
      </c>
      <c r="I8" s="301" t="n">
        <f aca="false">I7*D8</f>
        <v>35000000</v>
      </c>
      <c r="J8" s="301" t="n">
        <f aca="false">J7*D8</f>
        <v>25000000</v>
      </c>
      <c r="M8" s="187"/>
    </row>
    <row r="9" customFormat="false" ht="12.65" hidden="false" customHeight="false" outlineLevel="0" collapsed="false">
      <c r="A9" s="130" t="s">
        <v>443</v>
      </c>
      <c r="B9" s="130"/>
      <c r="C9" s="131" t="n">
        <v>0.2</v>
      </c>
      <c r="D9" s="301" t="n">
        <f aca="false">ROUND(D8*C9,0)</f>
        <v>20000000</v>
      </c>
      <c r="F9" s="302" t="n">
        <f aca="false">F7*$D9</f>
        <v>200000</v>
      </c>
      <c r="G9" s="302" t="n">
        <f aca="false">G7*$D9</f>
        <v>800000</v>
      </c>
      <c r="H9" s="302" t="n">
        <f aca="false">H7*$D9</f>
        <v>7000000</v>
      </c>
      <c r="I9" s="302" t="n">
        <f aca="false">I7*$D9</f>
        <v>7000000</v>
      </c>
      <c r="J9" s="302" t="n">
        <f aca="false">J7*$D9</f>
        <v>5000000</v>
      </c>
    </row>
    <row r="10" customFormat="false" ht="12.65" hidden="false" customHeight="false" outlineLevel="0" collapsed="false">
      <c r="A10" s="130" t="s">
        <v>444</v>
      </c>
      <c r="B10" s="130"/>
      <c r="C10" s="131" t="n">
        <v>0.075</v>
      </c>
      <c r="D10" s="301" t="n">
        <f aca="false">SUM(F10:J10)</f>
        <v>16173781.8925781</v>
      </c>
      <c r="F10" s="301" t="n">
        <f aca="false">IF(SUM(F8:F9)&gt;0,(SUM(F8:F9)/2*C10),0)</f>
        <v>45000</v>
      </c>
      <c r="G10" s="301" t="n">
        <f aca="false">IF(SUM(G8:G9)&gt;0,(SUM(G8:G9)/2+SUM($F$11:F11))*$C$10,0)</f>
        <v>273375</v>
      </c>
      <c r="H10" s="301" t="n">
        <f aca="false">IF(SUM(H8:H9)&gt;0,(SUM(H8:H9)/2+SUM($F$11:G11))*$C$10,0)</f>
        <v>2048878.125</v>
      </c>
      <c r="I10" s="301" t="n">
        <f aca="false">IF(SUM(I8:I9)&gt;0,(SUM(I8:I9)/2+SUM($F$11:H11))*$C$10,0)</f>
        <v>5352543.984375</v>
      </c>
      <c r="J10" s="301" t="n">
        <f aca="false">IF(SUM(J8:J9)&gt;0,(SUM(J8:J9)/2+SUM($F$11:I11))*$C$10,0)</f>
        <v>8453984.78320313</v>
      </c>
      <c r="M10" s="303"/>
      <c r="O10" s="304"/>
    </row>
    <row r="11" customFormat="false" ht="12.75" hidden="false" customHeight="true" outlineLevel="0" collapsed="false">
      <c r="A11" s="130" t="s">
        <v>546</v>
      </c>
      <c r="B11" s="130"/>
      <c r="D11" s="305" t="n">
        <f aca="false">SUM(D8:D10)</f>
        <v>136173781.892578</v>
      </c>
      <c r="F11" s="305" t="n">
        <f aca="false">SUM(F8:F10)</f>
        <v>1245000</v>
      </c>
      <c r="G11" s="305" t="n">
        <f aca="false">SUM(G8:G10)</f>
        <v>5073375</v>
      </c>
      <c r="H11" s="305" t="n">
        <f aca="false">SUM(H8:H10)</f>
        <v>44048878.125</v>
      </c>
      <c r="I11" s="305" t="n">
        <f aca="false">SUM(I8:I10)</f>
        <v>47352543.984375</v>
      </c>
      <c r="J11" s="305" t="n">
        <f aca="false">SUM(J8:J10)</f>
        <v>38453984.7832031</v>
      </c>
      <c r="K11" s="302"/>
      <c r="L11" s="306"/>
      <c r="N11" s="307"/>
      <c r="O11" s="307"/>
    </row>
    <row r="12" customFormat="false" ht="12.65" hidden="false" customHeight="false" outlineLevel="0" collapsed="false">
      <c r="A12" s="308"/>
      <c r="B12" s="308"/>
      <c r="D12" s="187"/>
      <c r="F12" s="307"/>
      <c r="G12" s="301"/>
      <c r="H12" s="301"/>
      <c r="I12" s="301"/>
      <c r="J12" s="301"/>
    </row>
    <row r="13" customFormat="false" ht="12.65" hidden="false" customHeight="false" outlineLevel="0" collapsed="false">
      <c r="A13" s="179" t="s">
        <v>736</v>
      </c>
      <c r="D13" s="309" t="n">
        <f aca="false">SUM(F13:J13)</f>
        <v>149817666.159883</v>
      </c>
      <c r="F13" s="305" t="n">
        <f aca="false">F$11*((1+D$7)^1)</f>
        <v>1276125</v>
      </c>
      <c r="G13" s="305" t="n">
        <f aca="false">G$11*((1+D$7)^2)</f>
        <v>5330214.609375</v>
      </c>
      <c r="H13" s="305" t="n">
        <f aca="false">H$11*((1+D$7)^3)</f>
        <v>47435823.8945801</v>
      </c>
      <c r="I13" s="305" t="n">
        <f aca="false">I$11*((1+D$7)^4)</f>
        <v>52268348.4538404</v>
      </c>
      <c r="J13" s="305" t="n">
        <f aca="false">J$11*((1+D$7)^5)</f>
        <v>43507154.2020871</v>
      </c>
    </row>
    <row r="14" customFormat="false" ht="12.65" hidden="false" customHeight="false" outlineLevel="0" collapsed="false">
      <c r="A14" s="179"/>
      <c r="C14" s="132" t="s">
        <v>737</v>
      </c>
      <c r="D14" s="307" t="n">
        <f aca="false">(D13-D11)/D11</f>
        <v>0.100194648908757</v>
      </c>
      <c r="F14" s="307"/>
      <c r="G14" s="310"/>
      <c r="H14" s="310"/>
      <c r="I14" s="310"/>
    </row>
    <row r="15" customFormat="false" ht="12.65" hidden="false" customHeight="false" outlineLevel="0" collapsed="false">
      <c r="A15" s="179"/>
      <c r="C15" s="132" t="s">
        <v>738</v>
      </c>
      <c r="D15" s="307" t="n">
        <f aca="false">D10/SUM(D8:D9)</f>
        <v>0.134781515771484</v>
      </c>
      <c r="F15" s="165" t="s">
        <v>739</v>
      </c>
    </row>
    <row r="16" customFormat="false" ht="12.65" hidden="false" customHeight="false" outlineLevel="0" collapsed="false">
      <c r="A16" s="179"/>
      <c r="C16" s="132"/>
      <c r="D16" s="307"/>
    </row>
    <row r="17" customFormat="false" ht="12.65" hidden="false" customHeight="false" outlineLevel="0" collapsed="false">
      <c r="B17" s="179"/>
      <c r="D17" s="311"/>
      <c r="H17" s="157" t="n">
        <v>0.071</v>
      </c>
    </row>
    <row r="18" customFormat="false" ht="46" hidden="false" customHeight="false" outlineLevel="0" collapsed="false">
      <c r="A18" s="312" t="s">
        <v>740</v>
      </c>
      <c r="B18" s="313" t="s">
        <v>741</v>
      </c>
      <c r="C18" s="313" t="s">
        <v>742</v>
      </c>
      <c r="D18" s="314" t="s">
        <v>743</v>
      </c>
      <c r="E18" s="314" t="s">
        <v>744</v>
      </c>
      <c r="F18" s="314" t="s">
        <v>745</v>
      </c>
      <c r="G18" s="312" t="s">
        <v>746</v>
      </c>
      <c r="H18" s="315" t="s">
        <v>747</v>
      </c>
      <c r="I18" s="316" t="s">
        <v>748</v>
      </c>
    </row>
    <row r="19" customFormat="false" ht="12.65" hidden="false" customHeight="false" outlineLevel="0" collapsed="false">
      <c r="A19" s="317" t="s">
        <v>749</v>
      </c>
      <c r="E19" s="318"/>
      <c r="F19" s="318"/>
      <c r="H19" s="319" t="n">
        <v>1</v>
      </c>
    </row>
    <row r="20" customFormat="false" ht="12.65" hidden="false" customHeight="false" outlineLevel="0" collapsed="false">
      <c r="A20" s="317" t="n">
        <v>1</v>
      </c>
      <c r="H20" s="319" t="n">
        <f aca="false">H19/(1+H$17)</f>
        <v>0.933706816059757</v>
      </c>
    </row>
    <row r="21" customFormat="false" ht="12.65" hidden="false" customHeight="false" outlineLevel="0" collapsed="false">
      <c r="A21" s="317" t="n">
        <f aca="false">A20+1</f>
        <v>2</v>
      </c>
      <c r="H21" s="319" t="n">
        <f aca="false">H20/(1+H$17)</f>
        <v>0.871808418356449</v>
      </c>
    </row>
    <row r="22" customFormat="false" ht="12.65" hidden="false" customHeight="false" outlineLevel="0" collapsed="false">
      <c r="A22" s="317" t="n">
        <f aca="false">A21+1</f>
        <v>3</v>
      </c>
      <c r="H22" s="319" t="n">
        <f aca="false">H21/(1+H$17)</f>
        <v>0.814013462517693</v>
      </c>
    </row>
    <row r="23" customFormat="false" ht="12.65" hidden="false" customHeight="false" outlineLevel="0" collapsed="false">
      <c r="A23" s="317" t="n">
        <f aca="false">A22+1</f>
        <v>4</v>
      </c>
      <c r="H23" s="319" t="n">
        <f aca="false">H22/(1+H$17)</f>
        <v>0.760049918317174</v>
      </c>
    </row>
    <row r="24" customFormat="false" ht="12.65" hidden="false" customHeight="false" outlineLevel="0" collapsed="false">
      <c r="A24" s="317" t="n">
        <f aca="false">A23+1</f>
        <v>5</v>
      </c>
      <c r="E24" s="320" t="n">
        <f aca="false">VLOOKUP(D6,'Cost over time data'!A2:C18,3,FALSE())</f>
        <v>0.0844345995893224</v>
      </c>
      <c r="F24" s="320"/>
      <c r="H24" s="319" t="n">
        <f aca="false">H23/(1+H$17)</f>
        <v>0.709663789278407</v>
      </c>
    </row>
    <row r="25" customFormat="false" ht="13" hidden="false" customHeight="false" outlineLevel="0" collapsed="false">
      <c r="A25" s="317" t="n">
        <f aca="false">A24+1</f>
        <v>6</v>
      </c>
      <c r="B25" s="301" t="n">
        <f aca="false">D13</f>
        <v>149817666.159883</v>
      </c>
      <c r="C25" s="301" t="n">
        <f aca="false">B25*(1-SUM($D$25:D25))</f>
        <v>146072224.505886</v>
      </c>
      <c r="D25" s="320" t="n">
        <f aca="false">1/40</f>
        <v>0.025</v>
      </c>
      <c r="E25" s="321" t="n">
        <f aca="false">(C25/B25)*$E$24</f>
        <v>0.0823237345995893</v>
      </c>
      <c r="F25" s="320" t="n">
        <f aca="false">VLOOKUP(D6,'Cost over time data'!A2:C18,2,FALSE())</f>
        <v>0.0342481625227411</v>
      </c>
      <c r="G25" s="301" t="n">
        <f aca="false">B25*SUM(D25:F25)</f>
        <v>21209971.2206945</v>
      </c>
      <c r="H25" s="319" t="n">
        <f aca="false">H24/(1+H$17)</f>
        <v>0.662617917160044</v>
      </c>
      <c r="I25" s="322" t="n">
        <f aca="false">G25*H25</f>
        <v>14054106.9532811</v>
      </c>
    </row>
    <row r="26" customFormat="false" ht="13" hidden="false" customHeight="false" outlineLevel="0" collapsed="false">
      <c r="A26" s="317" t="n">
        <f aca="false">A25+1</f>
        <v>7</v>
      </c>
      <c r="B26" s="301" t="n">
        <f aca="false">B25</f>
        <v>149817666.159883</v>
      </c>
      <c r="C26" s="301" t="n">
        <f aca="false">B26*(1-SUM($D$25:D26))</f>
        <v>142326782.851888</v>
      </c>
      <c r="D26" s="320" t="n">
        <f aca="false">D25</f>
        <v>0.025</v>
      </c>
      <c r="E26" s="321" t="n">
        <f aca="false">(C26/B26)*$E$24</f>
        <v>0.0802128696098563</v>
      </c>
      <c r="F26" s="321" t="n">
        <f aca="false">F25</f>
        <v>0.0342481625227411</v>
      </c>
      <c r="G26" s="301" t="n">
        <f aca="false">B26*SUM(D26:F26)</f>
        <v>20893726.3543541</v>
      </c>
      <c r="H26" s="319" t="n">
        <f aca="false">H25/(1+H$17)</f>
        <v>0.618690865695653</v>
      </c>
      <c r="I26" s="322" t="n">
        <f aca="false">G26*H26</f>
        <v>12926757.6457834</v>
      </c>
    </row>
    <row r="27" customFormat="false" ht="13" hidden="false" customHeight="false" outlineLevel="0" collapsed="false">
      <c r="A27" s="317" t="n">
        <f aca="false">A26+1</f>
        <v>8</v>
      </c>
      <c r="B27" s="301" t="n">
        <f aca="false">B26</f>
        <v>149817666.159883</v>
      </c>
      <c r="C27" s="301" t="n">
        <f aca="false">B27*(1-SUM($D$25:D27))</f>
        <v>138581341.197891</v>
      </c>
      <c r="D27" s="320" t="n">
        <f aca="false">D26</f>
        <v>0.025</v>
      </c>
      <c r="E27" s="321" t="n">
        <f aca="false">(C27/B27)*$E$24</f>
        <v>0.0781020046201232</v>
      </c>
      <c r="F27" s="321" t="n">
        <f aca="false">F26</f>
        <v>0.0342481625227411</v>
      </c>
      <c r="G27" s="301" t="n">
        <f aca="false">B27*SUM(D27:F27)</f>
        <v>20577481.4880137</v>
      </c>
      <c r="H27" s="319" t="n">
        <f aca="false">H26/(1+H$17)</f>
        <v>0.577675878333943</v>
      </c>
      <c r="I27" s="322" t="n">
        <f aca="false">G27*H27</f>
        <v>11887114.6924888</v>
      </c>
    </row>
    <row r="28" customFormat="false" ht="13" hidden="false" customHeight="false" outlineLevel="0" collapsed="false">
      <c r="A28" s="317" t="n">
        <f aca="false">A27+1</f>
        <v>9</v>
      </c>
      <c r="B28" s="301" t="n">
        <f aca="false">B27</f>
        <v>149817666.159883</v>
      </c>
      <c r="C28" s="301" t="n">
        <f aca="false">B28*(1-SUM($D$25:D28))</f>
        <v>134835899.543894</v>
      </c>
      <c r="D28" s="320" t="n">
        <f aca="false">D27</f>
        <v>0.025</v>
      </c>
      <c r="E28" s="321" t="n">
        <f aca="false">(C28/B28)*$E$24</f>
        <v>0.0759911396303901</v>
      </c>
      <c r="F28" s="321" t="n">
        <f aca="false">F27</f>
        <v>0.0342481625227411</v>
      </c>
      <c r="G28" s="301" t="n">
        <f aca="false">B28*SUM(D28:F28)</f>
        <v>20261236.6216733</v>
      </c>
      <c r="H28" s="319" t="n">
        <f aca="false">H27/(1+H$17)</f>
        <v>0.539379905073709</v>
      </c>
      <c r="I28" s="322" t="n">
        <f aca="false">G28*H28</f>
        <v>10928503.8856741</v>
      </c>
    </row>
    <row r="29" customFormat="false" ht="13" hidden="false" customHeight="false" outlineLevel="0" collapsed="false">
      <c r="A29" s="317" t="n">
        <f aca="false">A28+1</f>
        <v>10</v>
      </c>
      <c r="B29" s="301" t="n">
        <f aca="false">B28</f>
        <v>149817666.159883</v>
      </c>
      <c r="C29" s="301" t="n">
        <f aca="false">B29*(1-SUM($D$25:D29))</f>
        <v>131090457.889897</v>
      </c>
      <c r="D29" s="320" t="n">
        <f aca="false">D28</f>
        <v>0.025</v>
      </c>
      <c r="E29" s="321" t="n">
        <f aca="false">(C29/B29)*$E$24</f>
        <v>0.0738802746406571</v>
      </c>
      <c r="F29" s="321" t="n">
        <f aca="false">F28</f>
        <v>0.0342481625227411</v>
      </c>
      <c r="G29" s="301" t="n">
        <f aca="false">B29*SUM(D29:F29)</f>
        <v>19944991.7553329</v>
      </c>
      <c r="H29" s="319" t="n">
        <f aca="false">H28/(1+H$17)</f>
        <v>0.503622693812987</v>
      </c>
      <c r="I29" s="322" t="n">
        <f aca="false">G29*H29</f>
        <v>10044750.4758986</v>
      </c>
    </row>
    <row r="30" customFormat="false" ht="13" hidden="false" customHeight="false" outlineLevel="0" collapsed="false">
      <c r="A30" s="317" t="n">
        <f aca="false">A29+1</f>
        <v>11</v>
      </c>
      <c r="B30" s="301" t="n">
        <f aca="false">B29</f>
        <v>149817666.159883</v>
      </c>
      <c r="C30" s="301" t="n">
        <f aca="false">B30*(1-SUM($D$25:D30))</f>
        <v>127345016.2359</v>
      </c>
      <c r="D30" s="320" t="n">
        <f aca="false">D29</f>
        <v>0.025</v>
      </c>
      <c r="E30" s="321" t="n">
        <f aca="false">(C30/B30)*$E$24</f>
        <v>0.071769409650924</v>
      </c>
      <c r="F30" s="321" t="n">
        <f aca="false">F29</f>
        <v>0.0342481625227411</v>
      </c>
      <c r="G30" s="301" t="n">
        <f aca="false">B30*SUM(D30:F30)</f>
        <v>19628746.8889925</v>
      </c>
      <c r="H30" s="319" t="n">
        <f aca="false">H29/(1+H$17)</f>
        <v>0.470235941935562</v>
      </c>
      <c r="I30" s="322" t="n">
        <f aca="false">G30*H30</f>
        <v>9230142.28236012</v>
      </c>
    </row>
    <row r="31" customFormat="false" ht="13" hidden="false" customHeight="false" outlineLevel="0" collapsed="false">
      <c r="A31" s="317" t="n">
        <f aca="false">A30+1</f>
        <v>12</v>
      </c>
      <c r="B31" s="301" t="n">
        <f aca="false">B30</f>
        <v>149817666.159883</v>
      </c>
      <c r="C31" s="301" t="n">
        <f aca="false">B31*(1-SUM($D$25:D31))</f>
        <v>123599574.581903</v>
      </c>
      <c r="D31" s="320" t="n">
        <f aca="false">D30</f>
        <v>0.025</v>
      </c>
      <c r="E31" s="321" t="n">
        <f aca="false">(C31/B31)*$E$24</f>
        <v>0.069658544661191</v>
      </c>
      <c r="F31" s="321" t="n">
        <f aca="false">F30</f>
        <v>0.0342481625227411</v>
      </c>
      <c r="G31" s="301" t="n">
        <f aca="false">B31*SUM(D31:F31)</f>
        <v>19312502.0226521</v>
      </c>
      <c r="H31" s="319" t="n">
        <f aca="false">H30/(1+H$17)</f>
        <v>0.439062504141515</v>
      </c>
      <c r="I31" s="322" t="n">
        <f aca="false">G31*H31</f>
        <v>8479395.49930369</v>
      </c>
    </row>
    <row r="32" customFormat="false" ht="13" hidden="false" customHeight="false" outlineLevel="0" collapsed="false">
      <c r="A32" s="317" t="n">
        <f aca="false">A31+1</f>
        <v>13</v>
      </c>
      <c r="B32" s="301" t="n">
        <f aca="false">B31</f>
        <v>149817666.159883</v>
      </c>
      <c r="C32" s="301" t="n">
        <f aca="false">B32*(1-SUM($D$25:D32))</f>
        <v>119854132.927906</v>
      </c>
      <c r="D32" s="320" t="n">
        <f aca="false">D31</f>
        <v>0.025</v>
      </c>
      <c r="E32" s="321" t="n">
        <f aca="false">(C32/B32)*$E$24</f>
        <v>0.0675476796714579</v>
      </c>
      <c r="F32" s="321" t="n">
        <f aca="false">F31</f>
        <v>0.0342481625227411</v>
      </c>
      <c r="G32" s="301" t="n">
        <f aca="false">B32*SUM(D32:F32)</f>
        <v>18996257.1563117</v>
      </c>
      <c r="H32" s="319" t="n">
        <f aca="false">H31/(1+H$17)</f>
        <v>0.409955652793198</v>
      </c>
      <c r="I32" s="322" t="n">
        <f aca="false">G32*H32</f>
        <v>7787623.0031432</v>
      </c>
    </row>
    <row r="33" customFormat="false" ht="13" hidden="false" customHeight="false" outlineLevel="0" collapsed="false">
      <c r="A33" s="317" t="n">
        <f aca="false">A32+1</f>
        <v>14</v>
      </c>
      <c r="B33" s="301" t="n">
        <f aca="false">B32</f>
        <v>149817666.159883</v>
      </c>
      <c r="C33" s="301" t="n">
        <f aca="false">B33*(1-SUM($D$25:D33))</f>
        <v>116108691.273909</v>
      </c>
      <c r="D33" s="320" t="n">
        <f aca="false">D32</f>
        <v>0.025</v>
      </c>
      <c r="E33" s="321" t="n">
        <f aca="false">(C33/B33)*$E$24</f>
        <v>0.0654368146817249</v>
      </c>
      <c r="F33" s="321" t="n">
        <f aca="false">F32</f>
        <v>0.0342481625227411</v>
      </c>
      <c r="G33" s="301" t="n">
        <f aca="false">B33*SUM(D33:F33)</f>
        <v>18680012.2899712</v>
      </c>
      <c r="H33" s="319" t="n">
        <f aca="false">H32/(1+H$17)</f>
        <v>0.382778387295236</v>
      </c>
      <c r="I33" s="322" t="n">
        <f aca="false">G33*H33</f>
        <v>7150304.97901038</v>
      </c>
    </row>
    <row r="34" customFormat="false" ht="13" hidden="false" customHeight="false" outlineLevel="0" collapsed="false">
      <c r="A34" s="317" t="n">
        <f aca="false">A33+1</f>
        <v>15</v>
      </c>
      <c r="B34" s="301" t="n">
        <f aca="false">B33</f>
        <v>149817666.159883</v>
      </c>
      <c r="C34" s="301" t="n">
        <f aca="false">B34*(1-SUM($D$25:D34))</f>
        <v>112363249.619912</v>
      </c>
      <c r="D34" s="320" t="n">
        <f aca="false">D33</f>
        <v>0.025</v>
      </c>
      <c r="E34" s="321" t="n">
        <f aca="false">(C34/B34)*$E$24</f>
        <v>0.0633259496919918</v>
      </c>
      <c r="F34" s="321" t="n">
        <f aca="false">F33</f>
        <v>0.0342481625227411</v>
      </c>
      <c r="G34" s="301" t="n">
        <f aca="false">B34*SUM(D34:F34)</f>
        <v>18363767.4236308</v>
      </c>
      <c r="H34" s="319" t="n">
        <f aca="false">H33/(1+H$17)</f>
        <v>0.357402789257924</v>
      </c>
      <c r="I34" s="322" t="n">
        <f aca="false">G34*H34</f>
        <v>6563261.69848945</v>
      </c>
    </row>
    <row r="35" customFormat="false" ht="13" hidden="false" customHeight="false" outlineLevel="0" collapsed="false">
      <c r="A35" s="317" t="n">
        <f aca="false">A34+1</f>
        <v>16</v>
      </c>
      <c r="B35" s="301" t="n">
        <f aca="false">B34</f>
        <v>149817666.159883</v>
      </c>
      <c r="C35" s="301" t="n">
        <f aca="false">B35*(1-SUM($D$25:D35))</f>
        <v>108617807.965915</v>
      </c>
      <c r="D35" s="320" t="n">
        <f aca="false">D34</f>
        <v>0.025</v>
      </c>
      <c r="E35" s="321" t="n">
        <f aca="false">(C35/B35)*$E$24</f>
        <v>0.0612150847022587</v>
      </c>
      <c r="F35" s="321" t="n">
        <f aca="false">F34</f>
        <v>0.0342481625227411</v>
      </c>
      <c r="G35" s="301" t="n">
        <f aca="false">B35*SUM(D35:F35)</f>
        <v>18047522.5572904</v>
      </c>
      <c r="H35" s="319" t="n">
        <f aca="false">H34/(1+H$17)</f>
        <v>0.333709420408892</v>
      </c>
      <c r="I35" s="322" t="n">
        <f aca="false">G35*H35</f>
        <v>6022628.2924098</v>
      </c>
    </row>
    <row r="36" customFormat="false" ht="13" hidden="false" customHeight="false" outlineLevel="0" collapsed="false">
      <c r="A36" s="317" t="n">
        <f aca="false">A35+1</f>
        <v>17</v>
      </c>
      <c r="B36" s="301" t="n">
        <f aca="false">B35</f>
        <v>149817666.159883</v>
      </c>
      <c r="C36" s="301" t="n">
        <f aca="false">B36*(1-SUM($D$25:D36))</f>
        <v>104872366.311918</v>
      </c>
      <c r="D36" s="320" t="n">
        <f aca="false">D35</f>
        <v>0.025</v>
      </c>
      <c r="E36" s="321" t="n">
        <f aca="false">(C36/B36)*$E$24</f>
        <v>0.0591042197125257</v>
      </c>
      <c r="F36" s="321" t="n">
        <f aca="false">F35</f>
        <v>0.0342481625227411</v>
      </c>
      <c r="G36" s="301" t="n">
        <f aca="false">B36*SUM(D36:F36)</f>
        <v>17731277.69095</v>
      </c>
      <c r="H36" s="319" t="n">
        <f aca="false">H35/(1+H$17)</f>
        <v>0.311586760419134</v>
      </c>
      <c r="I36" s="322" t="n">
        <f aca="false">G36*H36</f>
        <v>5524831.37381517</v>
      </c>
    </row>
    <row r="37" customFormat="false" ht="13" hidden="false" customHeight="false" outlineLevel="0" collapsed="false">
      <c r="A37" s="317" t="n">
        <f aca="false">A36+1</f>
        <v>18</v>
      </c>
      <c r="B37" s="301" t="n">
        <f aca="false">B36</f>
        <v>149817666.159883</v>
      </c>
      <c r="C37" s="301" t="n">
        <f aca="false">B37*(1-SUM($D$25:D37))</f>
        <v>101126924.657921</v>
      </c>
      <c r="D37" s="320" t="n">
        <f aca="false">D36</f>
        <v>0.025</v>
      </c>
      <c r="E37" s="321" t="n">
        <f aca="false">(C37/B37)*$E$24</f>
        <v>0.0569933547227926</v>
      </c>
      <c r="F37" s="321" t="n">
        <f aca="false">F36</f>
        <v>0.0342481625227411</v>
      </c>
      <c r="G37" s="301" t="n">
        <f aca="false">B37*SUM(D37:F37)</f>
        <v>17415032.8246096</v>
      </c>
      <c r="H37" s="319" t="n">
        <f aca="false">H36/(1+H$17)</f>
        <v>0.290930681997324</v>
      </c>
      <c r="I37" s="322" t="n">
        <f aca="false">G37*H37</f>
        <v>5066567.37666945</v>
      </c>
    </row>
    <row r="38" customFormat="false" ht="13" hidden="false" customHeight="false" outlineLevel="0" collapsed="false">
      <c r="A38" s="317" t="n">
        <f aca="false">A37+1</f>
        <v>19</v>
      </c>
      <c r="B38" s="301" t="n">
        <f aca="false">B37</f>
        <v>149817666.159883</v>
      </c>
      <c r="C38" s="301" t="n">
        <f aca="false">B38*(1-SUM($D$25:D38))</f>
        <v>97381483.0039237</v>
      </c>
      <c r="D38" s="320" t="n">
        <f aca="false">D37</f>
        <v>0.025</v>
      </c>
      <c r="E38" s="321" t="n">
        <f aca="false">(C38/B38)*$E$24</f>
        <v>0.0548824897330595</v>
      </c>
      <c r="F38" s="321" t="n">
        <f aca="false">F37</f>
        <v>0.0342481625227411</v>
      </c>
      <c r="G38" s="301" t="n">
        <f aca="false">B38*SUM(D38:F38)</f>
        <v>17098787.9582692</v>
      </c>
      <c r="H38" s="319" t="n">
        <f aca="false">H37/(1+H$17)</f>
        <v>0.271643960781815</v>
      </c>
      <c r="I38" s="322" t="n">
        <f aca="false">G38*H38</f>
        <v>4644782.48555264</v>
      </c>
    </row>
    <row r="39" customFormat="false" ht="13" hidden="false" customHeight="false" outlineLevel="0" collapsed="false">
      <c r="A39" s="317" t="n">
        <f aca="false">A38+1</f>
        <v>20</v>
      </c>
      <c r="B39" s="301" t="n">
        <f aca="false">B38</f>
        <v>149817666.159883</v>
      </c>
      <c r="C39" s="301" t="n">
        <f aca="false">B39*(1-SUM($D$25:D39))</f>
        <v>93636041.3499266</v>
      </c>
      <c r="D39" s="320" t="n">
        <f aca="false">D38</f>
        <v>0.025</v>
      </c>
      <c r="E39" s="321" t="n">
        <f aca="false">(C39/B39)*$E$24</f>
        <v>0.0527716247433265</v>
      </c>
      <c r="F39" s="321" t="n">
        <f aca="false">F38</f>
        <v>0.0342481625227411</v>
      </c>
      <c r="G39" s="301" t="n">
        <f aca="false">B39*SUM(D39:F39)</f>
        <v>16782543.0919288</v>
      </c>
      <c r="H39" s="319" t="n">
        <f aca="false">H38/(1+H$17)</f>
        <v>0.25363581772345</v>
      </c>
      <c r="I39" s="322" t="n">
        <f aca="false">G39*H39</f>
        <v>4256654.04060039</v>
      </c>
      <c r="M39" s="165" t="s">
        <v>10</v>
      </c>
    </row>
    <row r="40" customFormat="false" ht="13" hidden="false" customHeight="false" outlineLevel="0" collapsed="false">
      <c r="A40" s="317" t="n">
        <f aca="false">A39+1</f>
        <v>21</v>
      </c>
      <c r="B40" s="301" t="n">
        <f aca="false">B39</f>
        <v>149817666.159883</v>
      </c>
      <c r="C40" s="301" t="n">
        <f aca="false">B40*(1-SUM($D$25:D40))</f>
        <v>89890599.6959295</v>
      </c>
      <c r="D40" s="320" t="n">
        <f aca="false">D39</f>
        <v>0.025</v>
      </c>
      <c r="E40" s="321" t="n">
        <f aca="false">(C40/B40)*$E$24</f>
        <v>0.0506607597535934</v>
      </c>
      <c r="F40" s="321" t="n">
        <f aca="false">F39</f>
        <v>0.0342481625227411</v>
      </c>
      <c r="G40" s="301" t="n">
        <f aca="false">B40*SUM(D40:F40)</f>
        <v>16466298.2255884</v>
      </c>
      <c r="H40" s="319" t="n">
        <f aca="false">H39/(1+H$17)</f>
        <v>0.236821491805275</v>
      </c>
      <c r="I40" s="322" t="n">
        <f aca="false">G40*H40</f>
        <v>3899573.3102944</v>
      </c>
    </row>
    <row r="41" customFormat="false" ht="13" hidden="false" customHeight="false" outlineLevel="0" collapsed="false">
      <c r="A41" s="317" t="n">
        <f aca="false">A40+1</f>
        <v>22</v>
      </c>
      <c r="B41" s="301" t="n">
        <f aca="false">B40</f>
        <v>149817666.159883</v>
      </c>
      <c r="C41" s="301" t="n">
        <f aca="false">B41*(1-SUM($D$25:D41))</f>
        <v>86145158.0419325</v>
      </c>
      <c r="D41" s="320" t="n">
        <f aca="false">D40</f>
        <v>0.025</v>
      </c>
      <c r="E41" s="321" t="n">
        <f aca="false">(C41/B41)*$E$24</f>
        <v>0.0485498947638604</v>
      </c>
      <c r="F41" s="321" t="n">
        <f aca="false">F40</f>
        <v>0.0342481625227411</v>
      </c>
      <c r="G41" s="301" t="n">
        <f aca="false">B41*SUM(D41:F41)</f>
        <v>16150053.359248</v>
      </c>
      <c r="H41" s="319" t="n">
        <f aca="false">H40/(1+H$17)</f>
        <v>0.221121841088026</v>
      </c>
      <c r="I41" s="322" t="n">
        <f aca="false">G41*H41</f>
        <v>3571129.53246676</v>
      </c>
    </row>
    <row r="42" customFormat="false" ht="13" hidden="false" customHeight="false" outlineLevel="0" collapsed="false">
      <c r="A42" s="317" t="n">
        <f aca="false">A41+1</f>
        <v>23</v>
      </c>
      <c r="B42" s="301" t="n">
        <f aca="false">B41</f>
        <v>149817666.159883</v>
      </c>
      <c r="C42" s="301" t="n">
        <f aca="false">B42*(1-SUM($D$25:D42))</f>
        <v>82399716.3879354</v>
      </c>
      <c r="D42" s="320" t="n">
        <f aca="false">D41</f>
        <v>0.025</v>
      </c>
      <c r="E42" s="321" t="n">
        <f aca="false">(C42/B42)*$E$24</f>
        <v>0.0464390297741273</v>
      </c>
      <c r="F42" s="321" t="n">
        <f aca="false">F41</f>
        <v>0.0342481625227411</v>
      </c>
      <c r="G42" s="301" t="n">
        <f aca="false">B42*SUM(D42:F42)</f>
        <v>15833808.4929075</v>
      </c>
      <c r="H42" s="319" t="n">
        <f aca="false">H41/(1+H$17)</f>
        <v>0.206462970203572</v>
      </c>
      <c r="I42" s="322" t="n">
        <f aca="false">G42*H42</f>
        <v>3269095.13108023</v>
      </c>
    </row>
    <row r="43" customFormat="false" ht="13" hidden="false" customHeight="false" outlineLevel="0" collapsed="false">
      <c r="A43" s="317" t="n">
        <f aca="false">A42+1</f>
        <v>24</v>
      </c>
      <c r="B43" s="301" t="n">
        <f aca="false">B42</f>
        <v>149817666.159883</v>
      </c>
      <c r="C43" s="301" t="n">
        <f aca="false">B43*(1-SUM($D$25:D43))</f>
        <v>78654274.7339384</v>
      </c>
      <c r="D43" s="320" t="n">
        <f aca="false">D42</f>
        <v>0.025</v>
      </c>
      <c r="E43" s="321" t="n">
        <f aca="false">(C43/B43)*$E$24</f>
        <v>0.0443281647843942</v>
      </c>
      <c r="F43" s="321" t="n">
        <f aca="false">F42</f>
        <v>0.0342481625227411</v>
      </c>
      <c r="G43" s="301" t="n">
        <f aca="false">B43*SUM(D43:F43)</f>
        <v>15517563.6265671</v>
      </c>
      <c r="H43" s="319" t="n">
        <f aca="false">H42/(1+H$17)</f>
        <v>0.192775882543018</v>
      </c>
      <c r="I43" s="322" t="n">
        <f aca="false">G43*H43</f>
        <v>2991412.02302891</v>
      </c>
    </row>
    <row r="44" customFormat="false" ht="13" hidden="false" customHeight="false" outlineLevel="0" collapsed="false">
      <c r="A44" s="317" t="n">
        <f aca="false">A43+1</f>
        <v>25</v>
      </c>
      <c r="B44" s="301" t="n">
        <f aca="false">B43</f>
        <v>149817666.159883</v>
      </c>
      <c r="C44" s="301" t="n">
        <f aca="false">B44*(1-SUM($D$25:D44))</f>
        <v>74908833.0799413</v>
      </c>
      <c r="D44" s="320" t="n">
        <f aca="false">D43</f>
        <v>0.025</v>
      </c>
      <c r="E44" s="321" t="n">
        <f aca="false">(C44/B44)*$E$24</f>
        <v>0.0422172997946612</v>
      </c>
      <c r="F44" s="321" t="n">
        <f aca="false">F43</f>
        <v>0.0342481625227411</v>
      </c>
      <c r="G44" s="301" t="n">
        <f aca="false">B44*SUM(D44:F44)</f>
        <v>15201318.7602267</v>
      </c>
      <c r="H44" s="319" t="n">
        <f aca="false">H43/(1+H$17)</f>
        <v>0.179996155502351</v>
      </c>
      <c r="I44" s="322" t="n">
        <f aca="false">G44*H44</f>
        <v>2736178.93540657</v>
      </c>
    </row>
    <row r="45" customFormat="false" ht="12.65" hidden="false" customHeight="false" outlineLevel="0" collapsed="false">
      <c r="I45" s="323" t="n">
        <f aca="false">SUM(I25:I44)</f>
        <v>141034813.616757</v>
      </c>
    </row>
    <row r="46" customFormat="false" ht="12.75" hidden="false" customHeight="false" outlineLevel="0" collapsed="false"/>
  </sheetData>
  <mergeCells count="8">
    <mergeCell ref="A2:H2"/>
    <mergeCell ref="A4:B4"/>
    <mergeCell ref="A6:B6"/>
    <mergeCell ref="A7:B7"/>
    <mergeCell ref="A8:B8"/>
    <mergeCell ref="A9:B9"/>
    <mergeCell ref="A10:B10"/>
    <mergeCell ref="A11:B11"/>
  </mergeCells>
  <dataValidations count="1">
    <dataValidation allowBlank="true" errorStyle="stop" operator="equal" showDropDown="false" showErrorMessage="true" showInputMessage="true" sqref="D6" type="list">
      <formula1>'Cost over time data'!$A$3:$A$18</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87629"/>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8359375" defaultRowHeight="12" customHeight="true" zeroHeight="false" outlineLevelRow="0" outlineLevelCol="0"/>
  <cols>
    <col collapsed="false" customWidth="true" hidden="false" outlineLevel="0" max="1" min="1" style="165" width="12.45"/>
    <col collapsed="false" customWidth="true" hidden="false" outlineLevel="0" max="2" min="2" style="165" width="28"/>
    <col collapsed="false" customWidth="true" hidden="false" outlineLevel="0" max="3" min="3" style="165" width="26.45"/>
    <col collapsed="false" customWidth="true" hidden="false" outlineLevel="0" max="4" min="4" style="165" width="33.54"/>
    <col collapsed="false" customWidth="false" hidden="false" outlineLevel="0" max="16384" min="5" style="165" width="9.18"/>
  </cols>
  <sheetData>
    <row r="1" customFormat="false" ht="15" hidden="false" customHeight="true" outlineLevel="0" collapsed="false">
      <c r="A1" s="324" t="s">
        <v>750</v>
      </c>
      <c r="B1" s="324"/>
      <c r="C1" s="324"/>
    </row>
    <row r="2" customFormat="false" ht="13" hidden="false" customHeight="false" outlineLevel="0" collapsed="false">
      <c r="A2" s="201" t="s">
        <v>14</v>
      </c>
      <c r="B2" s="246" t="s">
        <v>751</v>
      </c>
      <c r="C2" s="325" t="s">
        <v>752</v>
      </c>
    </row>
    <row r="3" customFormat="false" ht="12.65" hidden="false" customHeight="false" outlineLevel="0" collapsed="false">
      <c r="A3" s="326" t="s">
        <v>20</v>
      </c>
      <c r="B3" s="327" t="n">
        <v>0.0296113523347483</v>
      </c>
      <c r="C3" s="318" t="n">
        <v>0.081004158110883</v>
      </c>
      <c r="D3" s="321"/>
    </row>
    <row r="4" customFormat="false" ht="12.65" hidden="false" customHeight="false" outlineLevel="0" collapsed="false">
      <c r="A4" s="326" t="s">
        <v>21</v>
      </c>
      <c r="B4" s="327" t="n">
        <v>0.0368977683444512</v>
      </c>
      <c r="C4" s="318" t="n">
        <v>0.0828753080082136</v>
      </c>
    </row>
    <row r="5" customFormat="false" ht="12.65" hidden="false" customHeight="false" outlineLevel="0" collapsed="false">
      <c r="A5" s="326" t="s">
        <v>22</v>
      </c>
      <c r="B5" s="327" t="n">
        <v>0.0315985567010309</v>
      </c>
      <c r="C5" s="318" t="n">
        <v>0.08225159137577</v>
      </c>
    </row>
    <row r="6" customFormat="false" ht="12.65" hidden="false" customHeight="false" outlineLevel="0" collapsed="false">
      <c r="A6" s="326" t="s">
        <v>23</v>
      </c>
      <c r="B6" s="327" t="n">
        <v>0.0342481625227411</v>
      </c>
      <c r="C6" s="318" t="n">
        <v>0.0844345995893224</v>
      </c>
    </row>
    <row r="7" customFormat="false" ht="12.65" hidden="false" customHeight="false" outlineLevel="0" collapsed="false">
      <c r="A7" s="326" t="s">
        <v>24</v>
      </c>
      <c r="B7" s="327" t="n">
        <v>0.0308157186173438</v>
      </c>
      <c r="C7" s="318" t="n">
        <v>0.0806922997946612</v>
      </c>
    </row>
    <row r="8" customFormat="false" ht="12.65" hidden="false" customHeight="false" outlineLevel="0" collapsed="false">
      <c r="A8" s="326" t="s">
        <v>25</v>
      </c>
      <c r="B8" s="327" t="n">
        <v>0.027563929654336</v>
      </c>
      <c r="C8" s="318" t="n">
        <v>0.0819397330595483</v>
      </c>
    </row>
    <row r="9" customFormat="false" ht="12.65" hidden="false" customHeight="false" outlineLevel="0" collapsed="false">
      <c r="A9" s="326" t="s">
        <v>26</v>
      </c>
      <c r="B9" s="327" t="n">
        <v>0.0362353668890237</v>
      </c>
      <c r="C9" s="318" t="n">
        <v>0.0806922997946612</v>
      </c>
    </row>
    <row r="10" customFormat="false" ht="12.65" hidden="false" customHeight="false" outlineLevel="0" collapsed="false">
      <c r="A10" s="326" t="s">
        <v>27</v>
      </c>
      <c r="B10" s="327" t="n">
        <v>0.0328029229836264</v>
      </c>
      <c r="C10" s="318" t="n">
        <v>0.0830624229979466</v>
      </c>
    </row>
    <row r="11" customFormat="false" ht="12.65" hidden="false" customHeight="false" outlineLevel="0" collapsed="false">
      <c r="A11" s="326" t="s">
        <v>28</v>
      </c>
      <c r="B11" s="327" t="n">
        <v>0.0296113523347483</v>
      </c>
      <c r="C11" s="318" t="n">
        <v>0.0800685831622177</v>
      </c>
    </row>
    <row r="12" customFormat="false" ht="12.65" hidden="false" customHeight="false" outlineLevel="0" collapsed="false">
      <c r="A12" s="326" t="s">
        <v>29</v>
      </c>
      <c r="B12" s="327" t="n">
        <v>0.0319598665858096</v>
      </c>
      <c r="C12" s="318" t="n">
        <v>0.0808482289527721</v>
      </c>
    </row>
    <row r="13" customFormat="false" ht="12.65" hidden="false" customHeight="false" outlineLevel="0" collapsed="false">
      <c r="A13" s="326" t="s">
        <v>30</v>
      </c>
      <c r="B13" s="327" t="n">
        <v>0.0314781200727714</v>
      </c>
      <c r="C13" s="318" t="n">
        <v>0.0811600872689939</v>
      </c>
    </row>
    <row r="14" customFormat="false" ht="12.65" hidden="false" customHeight="false" outlineLevel="0" collapsed="false">
      <c r="A14" s="326" t="s">
        <v>31</v>
      </c>
      <c r="B14" s="327" t="n">
        <v>0.0350310006064281</v>
      </c>
      <c r="C14" s="318" t="n">
        <v>0.0801933264887064</v>
      </c>
    </row>
    <row r="15" customFormat="false" ht="12.65" hidden="false" customHeight="false" outlineLevel="0" collapsed="false">
      <c r="A15" s="326" t="s">
        <v>32</v>
      </c>
      <c r="B15" s="327" t="n">
        <v>0.0341879442086113</v>
      </c>
      <c r="C15" s="318" t="n">
        <v>0.07695</v>
      </c>
    </row>
    <row r="16" customFormat="false" ht="12.65" hidden="false" customHeight="false" outlineLevel="0" collapsed="false">
      <c r="A16" s="326" t="s">
        <v>33</v>
      </c>
      <c r="B16" s="327" t="n">
        <v>0.0373795148574894</v>
      </c>
      <c r="C16" s="318" t="n">
        <v>0.07695</v>
      </c>
    </row>
    <row r="17" customFormat="false" ht="12.65" hidden="false" customHeight="false" outlineLevel="0" collapsed="false">
      <c r="A17" s="326" t="s">
        <v>34</v>
      </c>
      <c r="B17" s="327" t="n">
        <v>0.0370784232868405</v>
      </c>
      <c r="C17" s="318" t="n">
        <v>0.0818773613963039</v>
      </c>
    </row>
    <row r="18" customFormat="false" ht="12.65" hidden="false" customHeight="false" outlineLevel="0" collapsed="false">
      <c r="A18" s="326" t="s">
        <v>753</v>
      </c>
      <c r="B18" s="327" t="n">
        <f aca="false">AVERAGE(B3:B17)</f>
        <v>0.0331</v>
      </c>
      <c r="C18" s="327" t="n">
        <f aca="false">AVERAGE(C3:C17)</f>
        <v>0.081</v>
      </c>
    </row>
  </sheetData>
  <mergeCells count="1">
    <mergeCell ref="A1:C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Alex Monn;dmittelstaedt@misoenergy.org</dc:creator>
  <dc:description/>
  <dc:language>en-US</dc:language>
  <cp:lastModifiedBy/>
  <cp:lastPrinted>2024-07-10T14:20:26Z</cp:lastPrinted>
  <dcterms:modified xsi:type="dcterms:W3CDTF">2026-01-31T18:04:41Z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